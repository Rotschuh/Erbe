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24226"/>
  <mc:AlternateContent xmlns:mc="http://schemas.openxmlformats.org/markup-compatibility/2006">
    <mc:Choice Requires="x15">
      <x15ac:absPath xmlns:x15ac="http://schemas.microsoft.com/office/spreadsheetml/2010/11/ac" url="C:\Users\PapaTom\OneDrive\DHBW\Klausuren\2024\Klausur\Lösungen\"/>
    </mc:Choice>
  </mc:AlternateContent>
  <xr:revisionPtr revIDLastSave="0" documentId="13_ncr:1_{42C009A4-1DD9-43B1-BB4C-FCAD466F4729}" xr6:coauthVersionLast="47" xr6:coauthVersionMax="47" xr10:uidLastSave="{00000000-0000-0000-0000-000000000000}"/>
  <bookViews>
    <workbookView xWindow="-120" yWindow="-120" windowWidth="29040" windowHeight="15840" tabRatio="865" activeTab="3" xr2:uid="{00000000-000D-0000-FFFF-FFFF00000000}"/>
  </bookViews>
  <sheets>
    <sheet name="Deckblatt" sheetId="12" r:id="rId1"/>
    <sheet name="Daten und Kennfelder" sheetId="3" r:id="rId2"/>
    <sheet name="Aufgabe 1" sheetId="10" r:id="rId3"/>
    <sheet name=" 2 Fahrwiderst" sheetId="30" r:id="rId4"/>
    <sheet name="3 Kraftstoff" sheetId="32" r:id="rId5"/>
    <sheet name="4 Fahrleistung" sheetId="40" r:id="rId6"/>
    <sheet name="5 Einspur" sheetId="29" r:id="rId7"/>
    <sheet name="6 Schwerpunkt " sheetId="43" r:id="rId8"/>
    <sheet name="Punkteverteilung" sheetId="11" r:id="rId9"/>
    <sheet name="Nebenrechnung_5" sheetId="44" state="hidden" r:id="rId10"/>
    <sheet name="Getriebeauslegung" sheetId="41" state="hidden" r:id="rId11"/>
    <sheet name="7 Schwerpunkt" sheetId="38" state="hidden" r:id="rId12"/>
    <sheet name="3 Getriebe" sheetId="36" state="hidden" r:id="rId13"/>
  </sheets>
  <externalReferences>
    <externalReference r:id="rId14"/>
  </externalReferences>
  <definedNames>
    <definedName name="A">'Daten und Kennfelder'!$B$5</definedName>
    <definedName name="A_Motorrad">'6 Schwerpunkt '!$E$12</definedName>
    <definedName name="ay">'5 Einspur'!$F$34</definedName>
    <definedName name="C_ah">'Daten und Kennfelder'!$L$5</definedName>
    <definedName name="C_av">'Daten und Kennfelder'!$L$4</definedName>
    <definedName name="cw">'Daten und Kennfelder'!$B$8</definedName>
    <definedName name="cw_motorrad">'6 Schwerpunkt '!$E$11</definedName>
    <definedName name="_xlnm.Print_Area" localSheetId="3">' 2 Fahrwiderst'!$A$1:$G$62</definedName>
    <definedName name="_xlnm.Print_Area" localSheetId="12">'3 Getriebe'!$A$1:$G$27</definedName>
    <definedName name="_xlnm.Print_Area" localSheetId="4">'3 Kraftstoff'!$A$1:$G$45</definedName>
    <definedName name="_xlnm.Print_Area" localSheetId="5">'4 Fahrleistung'!$A$1:$G$45</definedName>
    <definedName name="_xlnm.Print_Area" localSheetId="6">'5 Einspur'!$A$1:$G$53</definedName>
    <definedName name="_xlnm.Print_Area" localSheetId="7">'6 Schwerpunkt '!$A$1:$H$49</definedName>
    <definedName name="_xlnm.Print_Area" localSheetId="11">'7 Schwerpunkt'!$A$1:$H$35</definedName>
    <definedName name="_xlnm.Print_Area" localSheetId="2">'Aufgabe 1'!$A$1:$G$23</definedName>
    <definedName name="_xlnm.Print_Area" localSheetId="1">'Daten und Kennfelder'!$A$1:$M$60</definedName>
    <definedName name="_xlnm.Print_Area" localSheetId="9">Nebenrechnung_5!$A$1:$G$49</definedName>
    <definedName name="_xlnm.Print_Area" localSheetId="8">Punkteverteilung!$C$5:$G$14</definedName>
    <definedName name="e_3">'4 Fahrleistung'!$C$31</definedName>
    <definedName name="e_5">'4 Fahrleistung'!$C$31</definedName>
    <definedName name="eta_Tr">'Daten und Kennfelder'!$D$12</definedName>
    <definedName name="F_lW_Motorrad">'6 Schwerpunkt '!$G$42</definedName>
    <definedName name="FG_Motorrad">'6 Schwerpunkt '!$G$41</definedName>
    <definedName name="fr">'Daten und Kennfelder'!$B$7</definedName>
    <definedName name="g_Erdbeschl.">'Daten und Kennfelder'!$S$9</definedName>
    <definedName name="G_normal_Gewichtskr." localSheetId="7">'6 Schwerpunkt '!$G$41</definedName>
    <definedName name="G_normal_Gewichtskr." localSheetId="11">'7 Schwerpunkt'!$G$49</definedName>
    <definedName name="H_Heizwert_Diesel">'Daten und Kennfelder'!$G$16</definedName>
    <definedName name="h_LW" localSheetId="11">'7 Schwerpunkt'!$D$32</definedName>
    <definedName name="h_LW">'Daten und Kennfelder'!$D$8</definedName>
    <definedName name="h_LW_Motorrad">'6 Schwerpunkt '!$C$11</definedName>
    <definedName name="h_s">'Daten und Kennfelder'!$D$6</definedName>
    <definedName name="h_s_Motorrad">'6 Schwerpunkt '!$C$12</definedName>
    <definedName name="hs">'Daten und Kennfelder'!$D$6</definedName>
    <definedName name="I_1">Getriebeauslegung!$M$46</definedName>
    <definedName name="I_2">Getriebeauslegung!$M$50</definedName>
    <definedName name="I_3">Getriebeauslegung!$M$49</definedName>
    <definedName name="I_4">Getriebeauslegung!$M$48</definedName>
    <definedName name="I_5">'Daten und Kennfelder'!$B$16</definedName>
    <definedName name="i_Achse">'Daten und Kennfelder'!$B$19</definedName>
    <definedName name="J_Getr">'Daten und Kennfelder'!$D$19</definedName>
    <definedName name="J_Kuppl">'Daten und Kennfelder'!$D$18</definedName>
    <definedName name="J_Motor">'Daten und Kennfelder'!$D$17</definedName>
    <definedName name="J_Rad">'Daten und Kennfelder'!$D$15</definedName>
    <definedName name="J_red">'4 Fahrleistung'!$D$23</definedName>
    <definedName name="J_Triebstrang">'Daten und Kennfelder'!$D$16</definedName>
    <definedName name="l_0">'Daten und Kennfelder'!$D$4</definedName>
    <definedName name="l_0_Motorrad">'6 Schwerpunkt '!$C$13</definedName>
    <definedName name="l_h_Motorrad">'6 Schwerpunkt '!$C$14</definedName>
    <definedName name="LambdaA" localSheetId="9">Nebenrechnung_5!$E$34</definedName>
    <definedName name="LambdaA">' 2 Fahrwiderst'!$E$34</definedName>
    <definedName name="lh">'Daten und Kennfelder'!$D$5</definedName>
    <definedName name="m_F_normal">'Daten und Kennfelder'!$B$4</definedName>
    <definedName name="M_max">'Daten und Kennfelder'!$I$4</definedName>
    <definedName name="m_Motorrad">'6 Schwerpunkt '!$E$14</definedName>
    <definedName name="Mue">'Daten und Kennfelder'!$L$6</definedName>
    <definedName name="n_4800">'Daten und Kennfelder'!$G$11</definedName>
    <definedName name="n_max">'Daten und Kennfelder'!$G$13</definedName>
    <definedName name="n_nenn">'Daten und Kennfelder'!$G$5</definedName>
    <definedName name="p" localSheetId="9">Nebenrechnung_5!$E$13</definedName>
    <definedName name="p">' 2 Fahrwiderst'!$E$13</definedName>
    <definedName name="P_B">'4 Fahrleistung'!$E$35</definedName>
    <definedName name="P_nenn">'Daten und Kennfelder'!$G$4</definedName>
    <definedName name="P_S" localSheetId="9">Nebenrechnung_5!$D$66</definedName>
    <definedName name="P_S">' 2 Fahrwiderst'!$D$66</definedName>
    <definedName name="P_ü">'4 Fahrleistung'!$F$17</definedName>
    <definedName name="phi_2" localSheetId="10">Getriebeauslegung!$M$41</definedName>
    <definedName name="Radius">'5 Einspur'!$F$21</definedName>
    <definedName name="rdyn">'Daten und Kennfelder'!$B$6</definedName>
    <definedName name="roh_Kraftst.">'Daten und Kennfelder'!$I$15</definedName>
    <definedName name="roh_Luft">'Daten und Kennfelder'!$G$15</definedName>
    <definedName name="s_Spurweite">'Daten und Kennfelder'!$D$7</definedName>
    <definedName name="V_F" localSheetId="9">Nebenrechnung_5!$E$12</definedName>
    <definedName name="V_F">' 2 Fahrwiderst'!$E$12</definedName>
    <definedName name="v_th" localSheetId="9">Nebenrechnung_5!$D$42</definedName>
    <definedName name="v_th">' 2 Fahrwiderst'!$D$42</definedName>
    <definedName name="z_max" localSheetId="10">Getriebeauslegung!$M$42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0" l="1"/>
  <c r="D23" i="40" l="1"/>
  <c r="F14" i="32"/>
  <c r="D43" i="32" s="1"/>
  <c r="D15" i="32"/>
  <c r="M104" i="44"/>
  <c r="L104" i="44"/>
  <c r="K104" i="44"/>
  <c r="O104" i="44" s="1"/>
  <c r="N103" i="44"/>
  <c r="M103" i="44"/>
  <c r="K103" i="44"/>
  <c r="L103" i="44" s="1"/>
  <c r="O102" i="44"/>
  <c r="N102" i="44"/>
  <c r="K102" i="44"/>
  <c r="K101" i="44"/>
  <c r="N100" i="44"/>
  <c r="M100" i="44"/>
  <c r="L100" i="44"/>
  <c r="K100" i="44"/>
  <c r="O100" i="44" s="1"/>
  <c r="N99" i="44"/>
  <c r="M99" i="44"/>
  <c r="K99" i="44"/>
  <c r="L99" i="44" s="1"/>
  <c r="O98" i="44"/>
  <c r="N98" i="44"/>
  <c r="K98" i="44"/>
  <c r="O97" i="44"/>
  <c r="L97" i="44"/>
  <c r="K97" i="44"/>
  <c r="N96" i="44"/>
  <c r="M96" i="44"/>
  <c r="L96" i="44"/>
  <c r="K96" i="44"/>
  <c r="O96" i="44" s="1"/>
  <c r="N95" i="44"/>
  <c r="M95" i="44"/>
  <c r="K95" i="44"/>
  <c r="L95" i="44" s="1"/>
  <c r="K94" i="44"/>
  <c r="O93" i="44"/>
  <c r="L93" i="44"/>
  <c r="K93" i="44"/>
  <c r="N92" i="44"/>
  <c r="M92" i="44"/>
  <c r="L92" i="44"/>
  <c r="K92" i="44"/>
  <c r="O92" i="44" s="1"/>
  <c r="N91" i="44"/>
  <c r="M91" i="44"/>
  <c r="K91" i="44"/>
  <c r="L91" i="44" s="1"/>
  <c r="H91" i="44"/>
  <c r="O90" i="44"/>
  <c r="L90" i="44"/>
  <c r="K90" i="44"/>
  <c r="D90" i="44"/>
  <c r="N89" i="44"/>
  <c r="M89" i="44"/>
  <c r="L89" i="44"/>
  <c r="K89" i="44"/>
  <c r="O89" i="44" s="1"/>
  <c r="O88" i="44"/>
  <c r="L88" i="44"/>
  <c r="K88" i="44"/>
  <c r="M87" i="44"/>
  <c r="L87" i="44"/>
  <c r="K87" i="44"/>
  <c r="O87" i="44" s="1"/>
  <c r="N86" i="44"/>
  <c r="M86" i="44"/>
  <c r="L86" i="44"/>
  <c r="K86" i="44"/>
  <c r="O86" i="44" s="1"/>
  <c r="O85" i="44"/>
  <c r="L85" i="44"/>
  <c r="K85" i="44"/>
  <c r="N84" i="44"/>
  <c r="M84" i="44"/>
  <c r="L84" i="44"/>
  <c r="K84" i="44"/>
  <c r="O84" i="44" s="1"/>
  <c r="K83" i="44"/>
  <c r="K82" i="44"/>
  <c r="N81" i="44"/>
  <c r="M81" i="44"/>
  <c r="L81" i="44"/>
  <c r="K81" i="44"/>
  <c r="O81" i="44" s="1"/>
  <c r="M80" i="44"/>
  <c r="L80" i="44"/>
  <c r="K80" i="44"/>
  <c r="O80" i="44" s="1"/>
  <c r="N79" i="44"/>
  <c r="M79" i="44"/>
  <c r="L79" i="44"/>
  <c r="K79" i="44"/>
  <c r="O79" i="44" s="1"/>
  <c r="K78" i="44"/>
  <c r="D78" i="44"/>
  <c r="M77" i="44"/>
  <c r="L77" i="44"/>
  <c r="K77" i="44"/>
  <c r="O77" i="44" s="1"/>
  <c r="C77" i="44"/>
  <c r="K76" i="44"/>
  <c r="O75" i="44"/>
  <c r="L75" i="44"/>
  <c r="K75" i="44"/>
  <c r="N74" i="44"/>
  <c r="M74" i="44"/>
  <c r="L74" i="44"/>
  <c r="K74" i="44"/>
  <c r="O74" i="44" s="1"/>
  <c r="D74" i="44"/>
  <c r="O73" i="44"/>
  <c r="N73" i="44"/>
  <c r="K73" i="44"/>
  <c r="C73" i="44"/>
  <c r="N72" i="44"/>
  <c r="M72" i="44"/>
  <c r="L72" i="44"/>
  <c r="K72" i="44"/>
  <c r="O72" i="44" s="1"/>
  <c r="N71" i="44"/>
  <c r="M71" i="44"/>
  <c r="K71" i="44"/>
  <c r="L71" i="44" s="1"/>
  <c r="O70" i="44"/>
  <c r="N70" i="44"/>
  <c r="K70" i="44"/>
  <c r="D70" i="44"/>
  <c r="N69" i="44"/>
  <c r="M69" i="44"/>
  <c r="L69" i="44"/>
  <c r="K69" i="44"/>
  <c r="O69" i="44" s="1"/>
  <c r="C69" i="44"/>
  <c r="O68" i="44"/>
  <c r="N68" i="44"/>
  <c r="K68" i="44"/>
  <c r="O67" i="44"/>
  <c r="L67" i="44"/>
  <c r="K67" i="44"/>
  <c r="N66" i="44"/>
  <c r="M66" i="44"/>
  <c r="L66" i="44"/>
  <c r="K66" i="44"/>
  <c r="O66" i="44" s="1"/>
  <c r="K65" i="44"/>
  <c r="N64" i="44"/>
  <c r="M64" i="44"/>
  <c r="L64" i="44"/>
  <c r="K64" i="44"/>
  <c r="O64" i="44" s="1"/>
  <c r="N63" i="44"/>
  <c r="M63" i="44"/>
  <c r="K63" i="44"/>
  <c r="L63" i="44" s="1"/>
  <c r="K62" i="44"/>
  <c r="H62" i="44"/>
  <c r="N61" i="44"/>
  <c r="M61" i="44"/>
  <c r="L61" i="44"/>
  <c r="K61" i="44"/>
  <c r="O61" i="44" s="1"/>
  <c r="H61" i="44"/>
  <c r="N60" i="44"/>
  <c r="L60" i="44"/>
  <c r="K60" i="44"/>
  <c r="M60" i="44" s="1"/>
  <c r="N59" i="44"/>
  <c r="M59" i="44"/>
  <c r="L59" i="44"/>
  <c r="K59" i="44"/>
  <c r="O59" i="44" s="1"/>
  <c r="E59" i="44"/>
  <c r="K58" i="44"/>
  <c r="E58" i="44"/>
  <c r="N57" i="44"/>
  <c r="M57" i="44"/>
  <c r="K57" i="44"/>
  <c r="L57" i="44" s="1"/>
  <c r="O56" i="44"/>
  <c r="M56" i="44"/>
  <c r="L56" i="44"/>
  <c r="K56" i="44"/>
  <c r="N56" i="44" s="1"/>
  <c r="O55" i="44"/>
  <c r="N55" i="44"/>
  <c r="M55" i="44"/>
  <c r="K55" i="44"/>
  <c r="L55" i="44" s="1"/>
  <c r="O54" i="44"/>
  <c r="K54" i="44"/>
  <c r="N54" i="44" s="1"/>
  <c r="N53" i="44"/>
  <c r="M53" i="44"/>
  <c r="L53" i="44"/>
  <c r="K53" i="44"/>
  <c r="O53" i="44" s="1"/>
  <c r="O52" i="44"/>
  <c r="K52" i="44"/>
  <c r="L52" i="44" s="1"/>
  <c r="K51" i="44"/>
  <c r="K50" i="44"/>
  <c r="K49" i="44"/>
  <c r="K48" i="44"/>
  <c r="K47" i="44"/>
  <c r="M46" i="44"/>
  <c r="L46" i="44"/>
  <c r="K46" i="44"/>
  <c r="N46" i="44" s="1"/>
  <c r="N45" i="44"/>
  <c r="M45" i="44"/>
  <c r="L45" i="44"/>
  <c r="K45" i="44"/>
  <c r="O45" i="44" s="1"/>
  <c r="N44" i="44"/>
  <c r="M44" i="44"/>
  <c r="K44" i="44"/>
  <c r="L44" i="44" s="1"/>
  <c r="N43" i="44"/>
  <c r="L43" i="44"/>
  <c r="K43" i="44"/>
  <c r="M43" i="44" s="1"/>
  <c r="H43" i="44"/>
  <c r="N42" i="44"/>
  <c r="M42" i="44"/>
  <c r="L42" i="44"/>
  <c r="K42" i="44"/>
  <c r="O42" i="44" s="1"/>
  <c r="D42" i="44"/>
  <c r="S30" i="44" s="1"/>
  <c r="O41" i="44"/>
  <c r="K41" i="44"/>
  <c r="M41" i="44" s="1"/>
  <c r="C41" i="44"/>
  <c r="N40" i="44"/>
  <c r="L40" i="44"/>
  <c r="K40" i="44"/>
  <c r="M40" i="44" s="1"/>
  <c r="O39" i="44"/>
  <c r="N39" i="44"/>
  <c r="M39" i="44"/>
  <c r="K39" i="44"/>
  <c r="L39" i="44" s="1"/>
  <c r="N38" i="44"/>
  <c r="M38" i="44"/>
  <c r="L38" i="44"/>
  <c r="K38" i="44"/>
  <c r="O38" i="44" s="1"/>
  <c r="N37" i="44"/>
  <c r="M37" i="44"/>
  <c r="L37" i="44"/>
  <c r="K37" i="44"/>
  <c r="O37" i="44" s="1"/>
  <c r="O36" i="44"/>
  <c r="K36" i="44"/>
  <c r="L36" i="44" s="1"/>
  <c r="K35" i="44"/>
  <c r="Q34" i="44"/>
  <c r="O34" i="44"/>
  <c r="M34" i="44"/>
  <c r="L34" i="44"/>
  <c r="K34" i="44"/>
  <c r="N34" i="44" s="1"/>
  <c r="Q33" i="44"/>
  <c r="K33" i="44"/>
  <c r="H33" i="44"/>
  <c r="Q32" i="44"/>
  <c r="N32" i="44"/>
  <c r="M32" i="44"/>
  <c r="L32" i="44"/>
  <c r="K32" i="44"/>
  <c r="O32" i="44" s="1"/>
  <c r="O31" i="44"/>
  <c r="K31" i="44"/>
  <c r="R30" i="44"/>
  <c r="O30" i="44"/>
  <c r="N30" i="44"/>
  <c r="M30" i="44"/>
  <c r="K30" i="44"/>
  <c r="L30" i="44" s="1"/>
  <c r="O29" i="44"/>
  <c r="N29" i="44"/>
  <c r="L29" i="44"/>
  <c r="K29" i="44"/>
  <c r="M29" i="44" s="1"/>
  <c r="O28" i="44"/>
  <c r="M28" i="44"/>
  <c r="L28" i="44"/>
  <c r="K28" i="44"/>
  <c r="N28" i="44" s="1"/>
  <c r="K27" i="44"/>
  <c r="L26" i="44"/>
  <c r="K26" i="44"/>
  <c r="N25" i="44"/>
  <c r="M25" i="44"/>
  <c r="L25" i="44"/>
  <c r="K25" i="44"/>
  <c r="O25" i="44" s="1"/>
  <c r="D25" i="44"/>
  <c r="N24" i="44"/>
  <c r="M24" i="44"/>
  <c r="L24" i="44"/>
  <c r="K24" i="44"/>
  <c r="O24" i="44" s="1"/>
  <c r="C24" i="44"/>
  <c r="O23" i="44"/>
  <c r="K23" i="44"/>
  <c r="K22" i="44"/>
  <c r="O22" i="44" s="1"/>
  <c r="M21" i="44"/>
  <c r="L21" i="44"/>
  <c r="K21" i="44"/>
  <c r="O21" i="44" s="1"/>
  <c r="D21" i="44"/>
  <c r="M20" i="44"/>
  <c r="L20" i="44"/>
  <c r="K20" i="44"/>
  <c r="O20" i="44" s="1"/>
  <c r="C20" i="44"/>
  <c r="Q19" i="44"/>
  <c r="N19" i="44"/>
  <c r="M19" i="44"/>
  <c r="L19" i="44"/>
  <c r="K19" i="44"/>
  <c r="O19" i="44" s="1"/>
  <c r="Q18" i="44"/>
  <c r="N18" i="44"/>
  <c r="M18" i="44"/>
  <c r="L18" i="44"/>
  <c r="K18" i="44"/>
  <c r="O18" i="44" s="1"/>
  <c r="Q17" i="44"/>
  <c r="N17" i="44"/>
  <c r="M17" i="44"/>
  <c r="L17" i="44"/>
  <c r="K17" i="44"/>
  <c r="O17" i="44" s="1"/>
  <c r="D17" i="44"/>
  <c r="D32" i="44" s="1"/>
  <c r="L16" i="44"/>
  <c r="K16" i="44"/>
  <c r="O16" i="44" s="1"/>
  <c r="C16" i="44"/>
  <c r="R15" i="44"/>
  <c r="R19" i="44" s="1"/>
  <c r="O15" i="44"/>
  <c r="L15" i="44"/>
  <c r="K15" i="44"/>
  <c r="M14" i="44"/>
  <c r="L14" i="44"/>
  <c r="K14" i="44"/>
  <c r="O14" i="44" s="1"/>
  <c r="N13" i="44"/>
  <c r="M13" i="44"/>
  <c r="L13" i="44"/>
  <c r="K13" i="44"/>
  <c r="O13" i="44" s="1"/>
  <c r="K12" i="44"/>
  <c r="O12" i="44" s="1"/>
  <c r="F12" i="44"/>
  <c r="M11" i="44"/>
  <c r="L11" i="44"/>
  <c r="K11" i="44"/>
  <c r="O11" i="44" s="1"/>
  <c r="N10" i="44"/>
  <c r="M10" i="44"/>
  <c r="L10" i="44"/>
  <c r="K10" i="44"/>
  <c r="O10" i="44" s="1"/>
  <c r="O9" i="44"/>
  <c r="K9" i="44"/>
  <c r="O8" i="44"/>
  <c r="L8" i="44"/>
  <c r="K8" i="44"/>
  <c r="M7" i="44"/>
  <c r="L7" i="44"/>
  <c r="K7" i="44"/>
  <c r="O7" i="44" s="1"/>
  <c r="N6" i="44"/>
  <c r="M6" i="44"/>
  <c r="L6" i="44"/>
  <c r="K6" i="44"/>
  <c r="O6" i="44" s="1"/>
  <c r="K5" i="44"/>
  <c r="O5" i="44" s="1"/>
  <c r="C17" i="32"/>
  <c r="C18" i="32" s="1"/>
  <c r="D33" i="32"/>
  <c r="B35" i="32" s="1"/>
  <c r="B29" i="29"/>
  <c r="N48" i="44" l="1"/>
  <c r="O48" i="44"/>
  <c r="M48" i="44"/>
  <c r="L48" i="44"/>
  <c r="M83" i="44"/>
  <c r="L83" i="44"/>
  <c r="O83" i="44"/>
  <c r="N83" i="44"/>
  <c r="N5" i="44"/>
  <c r="M9" i="44"/>
  <c r="L9" i="44"/>
  <c r="N12" i="44"/>
  <c r="R34" i="44"/>
  <c r="R32" i="44"/>
  <c r="S32" i="44"/>
  <c r="R18" i="44"/>
  <c r="L22" i="44"/>
  <c r="M23" i="44"/>
  <c r="L23" i="44"/>
  <c r="M27" i="44"/>
  <c r="N27" i="44"/>
  <c r="L27" i="44"/>
  <c r="C31" i="44"/>
  <c r="N35" i="44"/>
  <c r="O35" i="44"/>
  <c r="M35" i="44"/>
  <c r="L35" i="44"/>
  <c r="M49" i="44"/>
  <c r="O49" i="44"/>
  <c r="N49" i="44"/>
  <c r="L49" i="44"/>
  <c r="N58" i="44"/>
  <c r="O58" i="44"/>
  <c r="M58" i="44"/>
  <c r="L58" i="44"/>
  <c r="M65" i="44"/>
  <c r="L65" i="44"/>
  <c r="O65" i="44"/>
  <c r="N65" i="44"/>
  <c r="N8" i="44"/>
  <c r="M8" i="44"/>
  <c r="N9" i="44"/>
  <c r="N15" i="44"/>
  <c r="M15" i="44"/>
  <c r="R17" i="44"/>
  <c r="N23" i="44"/>
  <c r="O26" i="44"/>
  <c r="N26" i="44"/>
  <c r="M26" i="44"/>
  <c r="O27" i="44"/>
  <c r="L31" i="44"/>
  <c r="N31" i="44"/>
  <c r="M31" i="44"/>
  <c r="N33" i="44"/>
  <c r="O33" i="44"/>
  <c r="M33" i="44"/>
  <c r="L33" i="44"/>
  <c r="L50" i="44"/>
  <c r="O50" i="44"/>
  <c r="N50" i="44"/>
  <c r="M50" i="44"/>
  <c r="N101" i="44"/>
  <c r="M101" i="44"/>
  <c r="O101" i="44"/>
  <c r="L101" i="44"/>
  <c r="M5" i="44"/>
  <c r="L5" i="44"/>
  <c r="M12" i="44"/>
  <c r="L12" i="44"/>
  <c r="D48" i="44"/>
  <c r="D66" i="44"/>
  <c r="C65" i="44"/>
  <c r="C47" i="44"/>
  <c r="N22" i="44"/>
  <c r="M22" i="44"/>
  <c r="N16" i="44"/>
  <c r="M16" i="44"/>
  <c r="S33" i="44"/>
  <c r="R33" i="44"/>
  <c r="L47" i="44"/>
  <c r="O47" i="44"/>
  <c r="N47" i="44"/>
  <c r="M47" i="44"/>
  <c r="N51" i="44"/>
  <c r="O51" i="44"/>
  <c r="M51" i="44"/>
  <c r="L51" i="44"/>
  <c r="M62" i="44"/>
  <c r="L62" i="44"/>
  <c r="M76" i="44"/>
  <c r="L76" i="44"/>
  <c r="M78" i="44"/>
  <c r="L78" i="44"/>
  <c r="N82" i="44"/>
  <c r="M82" i="44"/>
  <c r="M94" i="44"/>
  <c r="L94" i="44"/>
  <c r="N7" i="44"/>
  <c r="N11" i="44"/>
  <c r="N14" i="44"/>
  <c r="S15" i="44"/>
  <c r="S34" i="44" s="1"/>
  <c r="N20" i="44"/>
  <c r="N21" i="44"/>
  <c r="M36" i="44"/>
  <c r="O40" i="44"/>
  <c r="L41" i="44"/>
  <c r="O43" i="44"/>
  <c r="O44" i="44"/>
  <c r="O46" i="44"/>
  <c r="M52" i="44"/>
  <c r="L54" i="44"/>
  <c r="O57" i="44"/>
  <c r="O60" i="44"/>
  <c r="N62" i="44"/>
  <c r="M68" i="44"/>
  <c r="L68" i="44"/>
  <c r="M73" i="44"/>
  <c r="L73" i="44"/>
  <c r="N75" i="44"/>
  <c r="M75" i="44"/>
  <c r="N76" i="44"/>
  <c r="N78" i="44"/>
  <c r="L82" i="44"/>
  <c r="N88" i="44"/>
  <c r="M88" i="44"/>
  <c r="N93" i="44"/>
  <c r="M93" i="44"/>
  <c r="N94" i="44"/>
  <c r="M98" i="44"/>
  <c r="L98" i="44"/>
  <c r="N36" i="44"/>
  <c r="N41" i="44"/>
  <c r="N52" i="44"/>
  <c r="M54" i="44"/>
  <c r="O62" i="44"/>
  <c r="N67" i="44"/>
  <c r="M67" i="44"/>
  <c r="M70" i="44"/>
  <c r="L70" i="44"/>
  <c r="O76" i="44"/>
  <c r="O78" i="44"/>
  <c r="O82" i="44"/>
  <c r="N85" i="44"/>
  <c r="M85" i="44"/>
  <c r="N90" i="44"/>
  <c r="M90" i="44"/>
  <c r="O94" i="44"/>
  <c r="N97" i="44"/>
  <c r="M97" i="44"/>
  <c r="M102" i="44"/>
  <c r="L102" i="44"/>
  <c r="O63" i="44"/>
  <c r="O71" i="44"/>
  <c r="N77" i="44"/>
  <c r="N80" i="44"/>
  <c r="N87" i="44"/>
  <c r="O91" i="44"/>
  <c r="O95" i="44"/>
  <c r="O99" i="44"/>
  <c r="O103" i="44"/>
  <c r="N104" i="44"/>
  <c r="C21" i="32"/>
  <c r="C20" i="32"/>
  <c r="C19" i="32"/>
  <c r="G45" i="32"/>
  <c r="D82" i="44" l="1"/>
  <c r="C81" i="44" a="1"/>
  <c r="C81" i="44" s="1"/>
  <c r="D56" i="44"/>
  <c r="C51" i="44"/>
  <c r="C55" i="44"/>
  <c r="D52" i="44"/>
  <c r="B13" i="40" s="1"/>
  <c r="S17" i="44"/>
  <c r="S18" i="44"/>
  <c r="S19" i="44"/>
  <c r="G41" i="43"/>
  <c r="G42" i="43"/>
  <c r="H49" i="43"/>
  <c r="E12" i="11" s="1"/>
  <c r="D57" i="44" l="1"/>
  <c r="R38" i="44"/>
  <c r="D27" i="44"/>
  <c r="C43" i="43"/>
  <c r="R39" i="44"/>
  <c r="E28" i="44"/>
  <c r="D60" i="44"/>
  <c r="S39" i="44"/>
  <c r="C59" i="44"/>
  <c r="C85" i="44"/>
  <c r="D86" i="44"/>
  <c r="C89" i="44" s="1"/>
  <c r="G43" i="43"/>
  <c r="G46" i="43" s="1" a="1"/>
  <c r="G46" i="43" s="1"/>
  <c r="D26" i="44" l="1"/>
  <c r="D28" i="44" s="1"/>
  <c r="Q22" i="44"/>
  <c r="Q37" i="44"/>
  <c r="R37" i="44" s="1"/>
  <c r="S37" i="44" s="1"/>
  <c r="S31" i="44" s="1"/>
  <c r="Q31" i="44" s="1"/>
  <c r="Q35" i="44" s="1"/>
  <c r="Q32" i="30"/>
  <c r="Q34" i="30"/>
  <c r="Q33" i="30"/>
  <c r="R30" i="30"/>
  <c r="R15" i="30"/>
  <c r="Q19" i="30"/>
  <c r="Q18" i="30"/>
  <c r="Q17" i="30"/>
  <c r="H91" i="30"/>
  <c r="D90" i="30"/>
  <c r="D78" i="30"/>
  <c r="C77" i="30"/>
  <c r="D74" i="30"/>
  <c r="C73" i="30"/>
  <c r="D70" i="30"/>
  <c r="C69" i="30"/>
  <c r="F35" i="29"/>
  <c r="F21" i="29"/>
  <c r="F34" i="29" s="1"/>
  <c r="D39" i="29" s="1"/>
  <c r="H52" i="29"/>
  <c r="H42" i="29"/>
  <c r="H22" i="29"/>
  <c r="H61" i="30"/>
  <c r="R31" i="44" l="1"/>
  <c r="S40" i="44"/>
  <c r="Q38" i="44"/>
  <c r="R40" i="44" s="1"/>
  <c r="R22" i="44"/>
  <c r="S22" i="44" s="1"/>
  <c r="U22" i="44"/>
  <c r="R32" i="30"/>
  <c r="R33" i="30"/>
  <c r="R34" i="30"/>
  <c r="R18" i="30"/>
  <c r="R17" i="30"/>
  <c r="R19" i="30"/>
  <c r="H26" i="29"/>
  <c r="B28" i="29"/>
  <c r="B12" i="3" l="1"/>
  <c r="L51" i="41"/>
  <c r="L50" i="41"/>
  <c r="L49" i="41"/>
  <c r="L48" i="41"/>
  <c r="M46" i="41"/>
  <c r="F43" i="41"/>
  <c r="E43" i="41"/>
  <c r="C43" i="41"/>
  <c r="B43" i="41"/>
  <c r="E41" i="41"/>
  <c r="B41" i="41" s="1"/>
  <c r="H38" i="41" s="1"/>
  <c r="J39" i="41"/>
  <c r="I39" i="41"/>
  <c r="E39" i="41"/>
  <c r="I37" i="41" s="1"/>
  <c r="I38" i="41"/>
  <c r="L37" i="41"/>
  <c r="E37" i="41"/>
  <c r="B37" i="41"/>
  <c r="I36" i="41"/>
  <c r="I35" i="41"/>
  <c r="E35" i="41"/>
  <c r="B35" i="41"/>
  <c r="E33" i="41"/>
  <c r="B33" i="41" s="1"/>
  <c r="C32" i="41"/>
  <c r="B32" i="41"/>
  <c r="D26" i="41"/>
  <c r="D25" i="41"/>
  <c r="D24" i="41"/>
  <c r="D23" i="41"/>
  <c r="D22" i="41"/>
  <c r="D21" i="41"/>
  <c r="D20" i="41"/>
  <c r="D19" i="41"/>
  <c r="D18" i="41"/>
  <c r="D17" i="41"/>
  <c r="D16" i="41"/>
  <c r="D15" i="41"/>
  <c r="D14" i="41"/>
  <c r="D13" i="41"/>
  <c r="D12" i="41"/>
  <c r="D11" i="41"/>
  <c r="D10" i="41"/>
  <c r="D9" i="41"/>
  <c r="D8" i="41"/>
  <c r="D7" i="41"/>
  <c r="D6" i="41"/>
  <c r="D5" i="41"/>
  <c r="D4" i="41"/>
  <c r="D3" i="41"/>
  <c r="D2" i="41"/>
  <c r="I34" i="41" l="1"/>
  <c r="B39" i="41"/>
  <c r="H24" i="32" l="1"/>
  <c r="B41" i="29"/>
  <c r="B42" i="29" s="1"/>
  <c r="K104" i="30"/>
  <c r="L104" i="30" s="1"/>
  <c r="K5" i="30"/>
  <c r="K6" i="30"/>
  <c r="K7" i="30"/>
  <c r="K8" i="30"/>
  <c r="K9" i="30"/>
  <c r="K10" i="30"/>
  <c r="K11" i="30"/>
  <c r="K12" i="30"/>
  <c r="K13" i="30"/>
  <c r="K14" i="30"/>
  <c r="K15" i="30"/>
  <c r="K16" i="30"/>
  <c r="K17" i="30"/>
  <c r="K18" i="30"/>
  <c r="K19" i="30"/>
  <c r="K20" i="30"/>
  <c r="K21" i="30"/>
  <c r="K22" i="30"/>
  <c r="K23" i="30"/>
  <c r="K24" i="30"/>
  <c r="K25" i="30"/>
  <c r="K26" i="30"/>
  <c r="K27" i="30"/>
  <c r="L27" i="30" s="1"/>
  <c r="K28" i="30"/>
  <c r="L28" i="30" s="1"/>
  <c r="K29" i="30"/>
  <c r="L29" i="30" s="1"/>
  <c r="K30" i="30"/>
  <c r="L30" i="30" s="1"/>
  <c r="K31" i="30"/>
  <c r="L31" i="30" s="1"/>
  <c r="K32" i="30"/>
  <c r="L32" i="30" s="1"/>
  <c r="K33" i="30"/>
  <c r="L33" i="30" s="1"/>
  <c r="K34" i="30"/>
  <c r="L34" i="30" s="1"/>
  <c r="K35" i="30"/>
  <c r="L35" i="30" s="1"/>
  <c r="K36" i="30"/>
  <c r="L36" i="30" s="1"/>
  <c r="K37" i="30"/>
  <c r="L37" i="30" s="1"/>
  <c r="K38" i="30"/>
  <c r="L38" i="30" s="1"/>
  <c r="K39" i="30"/>
  <c r="L39" i="30" s="1"/>
  <c r="K40" i="30"/>
  <c r="L40" i="30" s="1"/>
  <c r="K41" i="30"/>
  <c r="L41" i="30" s="1"/>
  <c r="K42" i="30"/>
  <c r="L42" i="30" s="1"/>
  <c r="K43" i="30"/>
  <c r="L43" i="30" s="1"/>
  <c r="K44" i="30"/>
  <c r="L44" i="30" s="1"/>
  <c r="K45" i="30"/>
  <c r="L45" i="30" s="1"/>
  <c r="K46" i="30"/>
  <c r="L46" i="30" s="1"/>
  <c r="K47" i="30"/>
  <c r="L47" i="30" s="1"/>
  <c r="K48" i="30"/>
  <c r="L48" i="30" s="1"/>
  <c r="K49" i="30"/>
  <c r="L49" i="30" s="1"/>
  <c r="K50" i="30"/>
  <c r="L50" i="30" s="1"/>
  <c r="K51" i="30"/>
  <c r="L51" i="30" s="1"/>
  <c r="K52" i="30"/>
  <c r="L52" i="30" s="1"/>
  <c r="K53" i="30"/>
  <c r="L53" i="30" s="1"/>
  <c r="K54" i="30"/>
  <c r="L54" i="30" s="1"/>
  <c r="K55" i="30"/>
  <c r="L55" i="30" s="1"/>
  <c r="K56" i="30"/>
  <c r="L56" i="30" s="1"/>
  <c r="K57" i="30"/>
  <c r="L57" i="30" s="1"/>
  <c r="K58" i="30"/>
  <c r="L58" i="30" s="1"/>
  <c r="K59" i="30"/>
  <c r="L59" i="30" s="1"/>
  <c r="K60" i="30"/>
  <c r="L60" i="30" s="1"/>
  <c r="K61" i="30"/>
  <c r="L61" i="30" s="1"/>
  <c r="K62" i="30"/>
  <c r="L62" i="30" s="1"/>
  <c r="K63" i="30"/>
  <c r="L63" i="30" s="1"/>
  <c r="K64" i="30"/>
  <c r="L64" i="30" s="1"/>
  <c r="K65" i="30"/>
  <c r="L65" i="30" s="1"/>
  <c r="K66" i="30"/>
  <c r="L66" i="30" s="1"/>
  <c r="K67" i="30"/>
  <c r="L67" i="30" s="1"/>
  <c r="K68" i="30"/>
  <c r="L68" i="30" s="1"/>
  <c r="K69" i="30"/>
  <c r="L69" i="30" s="1"/>
  <c r="K70" i="30"/>
  <c r="L70" i="30" s="1"/>
  <c r="K71" i="30"/>
  <c r="L71" i="30" s="1"/>
  <c r="K72" i="30"/>
  <c r="L72" i="30" s="1"/>
  <c r="K73" i="30"/>
  <c r="L73" i="30" s="1"/>
  <c r="K74" i="30"/>
  <c r="L74" i="30" s="1"/>
  <c r="K75" i="30"/>
  <c r="L75" i="30" s="1"/>
  <c r="K80" i="30"/>
  <c r="L80" i="30" s="1"/>
  <c r="K81" i="30"/>
  <c r="L81" i="30" s="1"/>
  <c r="K82" i="30"/>
  <c r="L82" i="30" s="1"/>
  <c r="K83" i="30"/>
  <c r="L83" i="30" s="1"/>
  <c r="K76" i="30"/>
  <c r="L76" i="30" s="1"/>
  <c r="K77" i="30"/>
  <c r="L77" i="30" s="1"/>
  <c r="K78" i="30"/>
  <c r="L78" i="30" s="1"/>
  <c r="K79" i="30"/>
  <c r="L79" i="30" s="1"/>
  <c r="K84" i="30"/>
  <c r="L84" i="30" s="1"/>
  <c r="K85" i="30"/>
  <c r="L85" i="30" s="1"/>
  <c r="K86" i="30"/>
  <c r="L86" i="30" s="1"/>
  <c r="K87" i="30"/>
  <c r="L87" i="30" s="1"/>
  <c r="K88" i="30"/>
  <c r="L88" i="30" s="1"/>
  <c r="K89" i="30"/>
  <c r="L89" i="30" s="1"/>
  <c r="K90" i="30"/>
  <c r="L90" i="30" s="1"/>
  <c r="K91" i="30"/>
  <c r="L91" i="30" s="1"/>
  <c r="K92" i="30"/>
  <c r="L92" i="30" s="1"/>
  <c r="K93" i="30"/>
  <c r="L93" i="30" s="1"/>
  <c r="K94" i="30"/>
  <c r="L94" i="30" s="1"/>
  <c r="K95" i="30"/>
  <c r="L95" i="30" s="1"/>
  <c r="K96" i="30"/>
  <c r="L96" i="30" s="1"/>
  <c r="K97" i="30"/>
  <c r="L97" i="30" s="1"/>
  <c r="K98" i="30"/>
  <c r="L98" i="30" s="1"/>
  <c r="K99" i="30"/>
  <c r="L99" i="30" s="1"/>
  <c r="K100" i="30"/>
  <c r="L100" i="30" s="1"/>
  <c r="K101" i="30"/>
  <c r="L101" i="30" s="1"/>
  <c r="K102" i="30"/>
  <c r="L102" i="30" s="1"/>
  <c r="K103" i="30"/>
  <c r="L103" i="30" s="1"/>
  <c r="O21" i="30" l="1"/>
  <c r="L21" i="30"/>
  <c r="O13" i="30"/>
  <c r="L13" i="30"/>
  <c r="O9" i="30"/>
  <c r="L9" i="30"/>
  <c r="O24" i="30"/>
  <c r="L24" i="30"/>
  <c r="O20" i="30"/>
  <c r="L20" i="30"/>
  <c r="O16" i="30"/>
  <c r="L16" i="30"/>
  <c r="O12" i="30"/>
  <c r="L12" i="30"/>
  <c r="O8" i="30"/>
  <c r="L8" i="30"/>
  <c r="O25" i="30"/>
  <c r="L25" i="30"/>
  <c r="O17" i="30"/>
  <c r="L17" i="30"/>
  <c r="O5" i="30"/>
  <c r="L5" i="30"/>
  <c r="O23" i="30"/>
  <c r="L23" i="30"/>
  <c r="O19" i="30"/>
  <c r="L19" i="30"/>
  <c r="O15" i="30"/>
  <c r="L15" i="30"/>
  <c r="O11" i="30"/>
  <c r="L11" i="30"/>
  <c r="O7" i="30"/>
  <c r="L7" i="30"/>
  <c r="O26" i="30"/>
  <c r="L26" i="30"/>
  <c r="O22" i="30"/>
  <c r="L22" i="30"/>
  <c r="O18" i="30"/>
  <c r="L18" i="30"/>
  <c r="O14" i="30"/>
  <c r="L14" i="30"/>
  <c r="O10" i="30"/>
  <c r="L10" i="30"/>
  <c r="O6" i="30"/>
  <c r="L6" i="30"/>
  <c r="M93" i="30"/>
  <c r="O93" i="30"/>
  <c r="N93" i="30"/>
  <c r="M85" i="30"/>
  <c r="O85" i="30"/>
  <c r="N85" i="30"/>
  <c r="M81" i="30"/>
  <c r="N81" i="30"/>
  <c r="O81" i="30"/>
  <c r="M69" i="30"/>
  <c r="O69" i="30"/>
  <c r="N69" i="30"/>
  <c r="M57" i="30"/>
  <c r="O57" i="30"/>
  <c r="N57" i="30"/>
  <c r="M45" i="30"/>
  <c r="O45" i="30"/>
  <c r="N45" i="30"/>
  <c r="M41" i="30"/>
  <c r="O41" i="30"/>
  <c r="N41" i="30"/>
  <c r="M37" i="30"/>
  <c r="O37" i="30"/>
  <c r="N37" i="30"/>
  <c r="M33" i="30"/>
  <c r="O33" i="30"/>
  <c r="N33" i="30"/>
  <c r="M29" i="30"/>
  <c r="O29" i="30"/>
  <c r="N29" i="30"/>
  <c r="M100" i="30"/>
  <c r="N100" i="30"/>
  <c r="O100" i="30"/>
  <c r="M92" i="30"/>
  <c r="N92" i="30"/>
  <c r="O92" i="30"/>
  <c r="M84" i="30"/>
  <c r="N84" i="30"/>
  <c r="O84" i="30"/>
  <c r="M80" i="30"/>
  <c r="N80" i="30"/>
  <c r="O80" i="30"/>
  <c r="M68" i="30"/>
  <c r="N68" i="30"/>
  <c r="O68" i="30"/>
  <c r="M64" i="30"/>
  <c r="N64" i="30"/>
  <c r="O64" i="30"/>
  <c r="M56" i="30"/>
  <c r="N56" i="30"/>
  <c r="O56" i="30"/>
  <c r="M52" i="30"/>
  <c r="N52" i="30"/>
  <c r="O52" i="30"/>
  <c r="M48" i="30"/>
  <c r="N48" i="30"/>
  <c r="O48" i="30"/>
  <c r="M44" i="30"/>
  <c r="N44" i="30"/>
  <c r="O44" i="30"/>
  <c r="M40" i="30"/>
  <c r="N40" i="30"/>
  <c r="O40" i="30"/>
  <c r="M36" i="30"/>
  <c r="N36" i="30"/>
  <c r="O36" i="30"/>
  <c r="M32" i="30"/>
  <c r="N32" i="30"/>
  <c r="O32" i="30"/>
  <c r="M28" i="30"/>
  <c r="N28" i="30"/>
  <c r="O28" i="30"/>
  <c r="M104" i="30"/>
  <c r="N104" i="30"/>
  <c r="O104" i="30"/>
  <c r="M103" i="30"/>
  <c r="N103" i="30"/>
  <c r="O103" i="30"/>
  <c r="M99" i="30"/>
  <c r="N99" i="30"/>
  <c r="O99" i="30"/>
  <c r="M95" i="30"/>
  <c r="N95" i="30"/>
  <c r="O95" i="30"/>
  <c r="M91" i="30"/>
  <c r="N91" i="30"/>
  <c r="O91" i="30"/>
  <c r="M87" i="30"/>
  <c r="N87" i="30"/>
  <c r="O87" i="30"/>
  <c r="M79" i="30"/>
  <c r="N79" i="30"/>
  <c r="O79" i="30"/>
  <c r="M83" i="30"/>
  <c r="N83" i="30"/>
  <c r="O83" i="30"/>
  <c r="M75" i="30"/>
  <c r="N75" i="30"/>
  <c r="O75" i="30"/>
  <c r="M71" i="30"/>
  <c r="N71" i="30"/>
  <c r="O71" i="30"/>
  <c r="M67" i="30"/>
  <c r="N67" i="30"/>
  <c r="O67" i="30"/>
  <c r="M63" i="30"/>
  <c r="N63" i="30"/>
  <c r="O63" i="30"/>
  <c r="M59" i="30"/>
  <c r="N59" i="30"/>
  <c r="O59" i="30"/>
  <c r="M55" i="30"/>
  <c r="N55" i="30"/>
  <c r="O55" i="30"/>
  <c r="M51" i="30"/>
  <c r="N51" i="30"/>
  <c r="O51" i="30"/>
  <c r="M47" i="30"/>
  <c r="N47" i="30"/>
  <c r="O47" i="30"/>
  <c r="M43" i="30"/>
  <c r="N43" i="30"/>
  <c r="O43" i="30"/>
  <c r="M39" i="30"/>
  <c r="N39" i="30"/>
  <c r="O39" i="30"/>
  <c r="M35" i="30"/>
  <c r="N35" i="30"/>
  <c r="O35" i="30"/>
  <c r="M31" i="30"/>
  <c r="N31" i="30"/>
  <c r="O31" i="30"/>
  <c r="M27" i="30"/>
  <c r="N27" i="30"/>
  <c r="O27" i="30"/>
  <c r="M101" i="30"/>
  <c r="O101" i="30"/>
  <c r="N101" i="30"/>
  <c r="M97" i="30"/>
  <c r="N97" i="30"/>
  <c r="O97" i="30"/>
  <c r="M89" i="30"/>
  <c r="N89" i="30"/>
  <c r="O89" i="30"/>
  <c r="M77" i="30"/>
  <c r="O77" i="30"/>
  <c r="N77" i="30"/>
  <c r="M73" i="30"/>
  <c r="N73" i="30"/>
  <c r="O73" i="30"/>
  <c r="M65" i="30"/>
  <c r="N65" i="30"/>
  <c r="O65" i="30"/>
  <c r="M61" i="30"/>
  <c r="O61" i="30"/>
  <c r="N61" i="30"/>
  <c r="M53" i="30"/>
  <c r="N53" i="30"/>
  <c r="O53" i="30"/>
  <c r="M49" i="30"/>
  <c r="O49" i="30"/>
  <c r="N49" i="30"/>
  <c r="M96" i="30"/>
  <c r="N96" i="30"/>
  <c r="O96" i="30"/>
  <c r="M88" i="30"/>
  <c r="N88" i="30"/>
  <c r="O88" i="30"/>
  <c r="M76" i="30"/>
  <c r="N76" i="30"/>
  <c r="O76" i="30"/>
  <c r="M72" i="30"/>
  <c r="N72" i="30"/>
  <c r="O72" i="30"/>
  <c r="M60" i="30"/>
  <c r="N60" i="30"/>
  <c r="O60" i="30"/>
  <c r="M102" i="30"/>
  <c r="O102" i="30"/>
  <c r="N102" i="30"/>
  <c r="M98" i="30"/>
  <c r="O98" i="30"/>
  <c r="N98" i="30"/>
  <c r="M94" i="30"/>
  <c r="O94" i="30"/>
  <c r="N94" i="30"/>
  <c r="M90" i="30"/>
  <c r="O90" i="30"/>
  <c r="N90" i="30"/>
  <c r="M86" i="30"/>
  <c r="O86" i="30"/>
  <c r="N86" i="30"/>
  <c r="M78" i="30"/>
  <c r="O78" i="30"/>
  <c r="N78" i="30"/>
  <c r="M82" i="30"/>
  <c r="O82" i="30"/>
  <c r="N82" i="30"/>
  <c r="M74" i="30"/>
  <c r="O74" i="30"/>
  <c r="N74" i="30"/>
  <c r="M70" i="30"/>
  <c r="O70" i="30"/>
  <c r="N70" i="30"/>
  <c r="M66" i="30"/>
  <c r="O66" i="30"/>
  <c r="N66" i="30"/>
  <c r="M62" i="30"/>
  <c r="O62" i="30"/>
  <c r="N62" i="30"/>
  <c r="M58" i="30"/>
  <c r="O58" i="30"/>
  <c r="N58" i="30"/>
  <c r="M54" i="30"/>
  <c r="O54" i="30"/>
  <c r="N54" i="30"/>
  <c r="M50" i="30"/>
  <c r="O50" i="30"/>
  <c r="N50" i="30"/>
  <c r="M46" i="30"/>
  <c r="O46" i="30"/>
  <c r="N46" i="30"/>
  <c r="M42" i="30"/>
  <c r="O42" i="30"/>
  <c r="N42" i="30"/>
  <c r="M38" i="30"/>
  <c r="O38" i="30"/>
  <c r="N38" i="30"/>
  <c r="M34" i="30"/>
  <c r="O34" i="30"/>
  <c r="N34" i="30"/>
  <c r="M30" i="30"/>
  <c r="O30" i="30"/>
  <c r="N30" i="30"/>
  <c r="M21" i="30"/>
  <c r="N21" i="30"/>
  <c r="M17" i="30"/>
  <c r="N17" i="30"/>
  <c r="M13" i="30"/>
  <c r="N13" i="30"/>
  <c r="M5" i="30"/>
  <c r="N5" i="30"/>
  <c r="M24" i="30"/>
  <c r="N24" i="30"/>
  <c r="M20" i="30"/>
  <c r="N20" i="30"/>
  <c r="M16" i="30"/>
  <c r="N16" i="30"/>
  <c r="M12" i="30"/>
  <c r="N12" i="30"/>
  <c r="M8" i="30"/>
  <c r="N8" i="30"/>
  <c r="M25" i="30"/>
  <c r="N25" i="30"/>
  <c r="M9" i="30"/>
  <c r="N9" i="30"/>
  <c r="M23" i="30"/>
  <c r="N23" i="30"/>
  <c r="M19" i="30"/>
  <c r="N19" i="30"/>
  <c r="M15" i="30"/>
  <c r="N15" i="30"/>
  <c r="M11" i="30"/>
  <c r="N11" i="30"/>
  <c r="M7" i="30"/>
  <c r="N7" i="30"/>
  <c r="M26" i="30"/>
  <c r="N26" i="30"/>
  <c r="M22" i="30"/>
  <c r="N22" i="30"/>
  <c r="M18" i="30"/>
  <c r="N18" i="30"/>
  <c r="M14" i="30"/>
  <c r="N14" i="30"/>
  <c r="M10" i="30"/>
  <c r="N10" i="30"/>
  <c r="M6" i="30"/>
  <c r="N6" i="30"/>
  <c r="G45" i="40"/>
  <c r="E10" i="11" s="1"/>
  <c r="F51" i="29"/>
  <c r="G53" i="29"/>
  <c r="D41" i="29"/>
  <c r="B39" i="29"/>
  <c r="C20" i="29"/>
  <c r="F41" i="29" l="1"/>
  <c r="F42" i="29" s="1"/>
  <c r="D42" i="29"/>
  <c r="F39" i="29"/>
  <c r="H44" i="32" l="1"/>
  <c r="H36" i="32" l="1"/>
  <c r="G62" i="30"/>
  <c r="C41" i="30"/>
  <c r="H43" i="30"/>
  <c r="H33" i="30"/>
  <c r="D42" i="30"/>
  <c r="D25" i="30"/>
  <c r="C24" i="30"/>
  <c r="G44" i="38"/>
  <c r="G47" i="38" s="1"/>
  <c r="G50" i="38"/>
  <c r="G49" i="38"/>
  <c r="S15" i="30" l="1"/>
  <c r="S18" i="30" s="1"/>
  <c r="S30" i="30"/>
  <c r="D32" i="32"/>
  <c r="C31" i="32"/>
  <c r="D33" i="38"/>
  <c r="G58" i="38" s="1"/>
  <c r="S19" i="30" l="1"/>
  <c r="S17" i="30"/>
  <c r="S32" i="30"/>
  <c r="S33" i="30"/>
  <c r="S34" i="30"/>
  <c r="I44" i="38"/>
  <c r="I62" i="38"/>
  <c r="E8" i="11" l="1"/>
  <c r="H74" i="38"/>
  <c r="J13" i="36"/>
  <c r="J25" i="36" s="1"/>
  <c r="D17" i="30"/>
  <c r="D21" i="30"/>
  <c r="C16" i="30"/>
  <c r="C20" i="30"/>
  <c r="G27" i="36"/>
  <c r="C31" i="30" l="1"/>
  <c r="D32" i="30"/>
  <c r="I5" i="3"/>
  <c r="E7" i="36"/>
  <c r="E11" i="11"/>
  <c r="E9" i="11"/>
  <c r="F12" i="30"/>
  <c r="D48" i="30" l="1"/>
  <c r="D52" i="30" s="1"/>
  <c r="D66" i="30"/>
  <c r="C65" i="30"/>
  <c r="C47" i="30"/>
  <c r="C58" i="38"/>
  <c r="F13" i="36"/>
  <c r="E7" i="11"/>
  <c r="E13" i="11" l="1"/>
  <c r="C13" i="32"/>
  <c r="D60" i="30"/>
  <c r="E28" i="30"/>
  <c r="S39" i="30"/>
  <c r="R39" i="30"/>
  <c r="Q37" i="30" s="1"/>
  <c r="R37" i="30" s="1"/>
  <c r="S37" i="30" s="1"/>
  <c r="D82" i="30"/>
  <c r="C81" i="30" a="1"/>
  <c r="C81" i="30" s="1"/>
  <c r="D56" i="30"/>
  <c r="R38" i="30" s="1"/>
  <c r="C55" i="30"/>
  <c r="C51" i="30"/>
  <c r="E61" i="38"/>
  <c r="G61" i="38"/>
  <c r="F17" i="36"/>
  <c r="F24" i="36" s="1"/>
  <c r="S31" i="30" l="1"/>
  <c r="Q31" i="30" s="1"/>
  <c r="Q35" i="30" s="1"/>
  <c r="Q38" i="30" s="1"/>
  <c r="R31" i="30" s="1"/>
  <c r="D57" i="30"/>
  <c r="D27" i="30"/>
  <c r="D86" i="30"/>
  <c r="C89" i="30" s="1"/>
  <c r="C85" i="30"/>
  <c r="D14" i="32"/>
  <c r="C59" i="30"/>
  <c r="G69" i="38"/>
  <c r="G70" i="38" s="1"/>
  <c r="B68" i="38"/>
  <c r="C41" i="32"/>
  <c r="D42" i="32"/>
  <c r="D17" i="32"/>
  <c r="D19" i="32" s="1"/>
  <c r="J19" i="36"/>
  <c r="F23" i="36"/>
  <c r="F25" i="36"/>
  <c r="S40" i="30" l="1"/>
  <c r="R40" i="30"/>
  <c r="D18" i="32"/>
  <c r="D21" i="32"/>
  <c r="D20" i="32"/>
  <c r="B40" i="29"/>
  <c r="U8" i="3" l="1"/>
  <c r="AV69" i="3" l="1"/>
  <c r="AV68" i="3"/>
  <c r="AV67" i="3"/>
  <c r="AV66" i="3"/>
  <c r="AV65" i="3"/>
  <c r="AV64" i="3"/>
  <c r="AV63" i="3"/>
  <c r="AV62" i="3"/>
  <c r="AV61" i="3"/>
  <c r="AV60" i="3"/>
  <c r="AV59" i="3"/>
  <c r="AV58" i="3"/>
  <c r="AV57" i="3"/>
  <c r="AV56" i="3"/>
  <c r="AV55" i="3"/>
  <c r="AV54" i="3"/>
  <c r="AV53" i="3"/>
  <c r="AV52" i="3"/>
  <c r="AV51" i="3"/>
  <c r="AV50" i="3"/>
  <c r="AV49" i="3"/>
  <c r="AV48" i="3"/>
  <c r="AV47" i="3"/>
  <c r="AV46" i="3"/>
  <c r="AV45" i="3"/>
  <c r="AB51" i="3"/>
  <c r="AC51" i="3"/>
  <c r="AD51" i="3"/>
  <c r="AE51" i="3"/>
  <c r="AF51" i="3"/>
  <c r="AG51" i="3"/>
  <c r="AH51" i="3"/>
  <c r="AI51" i="3"/>
  <c r="AJ51" i="3"/>
  <c r="AK51" i="3"/>
  <c r="AL51" i="3"/>
  <c r="AM51" i="3"/>
  <c r="AB52" i="3"/>
  <c r="AC52" i="3"/>
  <c r="AD52" i="3"/>
  <c r="AE52" i="3"/>
  <c r="AF52" i="3"/>
  <c r="AG52" i="3"/>
  <c r="AH52" i="3"/>
  <c r="AI52" i="3"/>
  <c r="AJ52" i="3"/>
  <c r="AK52" i="3"/>
  <c r="AL52" i="3"/>
  <c r="AM52" i="3"/>
  <c r="AB53" i="3"/>
  <c r="AC53" i="3"/>
  <c r="AD53" i="3"/>
  <c r="AE53" i="3"/>
  <c r="AF53" i="3"/>
  <c r="AG53" i="3"/>
  <c r="AH53" i="3"/>
  <c r="AI53" i="3"/>
  <c r="AJ53" i="3"/>
  <c r="AK53" i="3"/>
  <c r="AL53" i="3"/>
  <c r="AM53" i="3"/>
  <c r="AB54" i="3"/>
  <c r="AC54" i="3"/>
  <c r="AD54" i="3"/>
  <c r="AE54" i="3"/>
  <c r="AF54" i="3"/>
  <c r="AG54" i="3"/>
  <c r="AH54" i="3"/>
  <c r="AI54" i="3"/>
  <c r="AJ54" i="3"/>
  <c r="AK54" i="3"/>
  <c r="AL54" i="3"/>
  <c r="AM54" i="3"/>
  <c r="AB55" i="3"/>
  <c r="AC55" i="3"/>
  <c r="AD55" i="3"/>
  <c r="AE55" i="3"/>
  <c r="AF55" i="3"/>
  <c r="AG55" i="3"/>
  <c r="AH55" i="3"/>
  <c r="AI55" i="3"/>
  <c r="AJ55" i="3"/>
  <c r="AK55" i="3"/>
  <c r="AL55" i="3"/>
  <c r="AM55" i="3"/>
  <c r="AB56" i="3"/>
  <c r="AC56" i="3"/>
  <c r="AD56" i="3"/>
  <c r="AE56" i="3"/>
  <c r="AF56" i="3"/>
  <c r="AG56" i="3"/>
  <c r="AH56" i="3"/>
  <c r="AI56" i="3"/>
  <c r="AJ56" i="3"/>
  <c r="AK56" i="3"/>
  <c r="AL56" i="3"/>
  <c r="AM56" i="3"/>
  <c r="AB57" i="3"/>
  <c r="AC57" i="3"/>
  <c r="AD57" i="3"/>
  <c r="AE57" i="3"/>
  <c r="AF57" i="3"/>
  <c r="AG57" i="3"/>
  <c r="AH57" i="3"/>
  <c r="AI57" i="3"/>
  <c r="AJ57" i="3"/>
  <c r="AK57" i="3"/>
  <c r="AL57" i="3"/>
  <c r="AM57" i="3"/>
  <c r="AB58" i="3"/>
  <c r="AC58" i="3"/>
  <c r="AD58" i="3"/>
  <c r="AE58" i="3"/>
  <c r="AF58" i="3"/>
  <c r="AG58" i="3"/>
  <c r="AH58" i="3"/>
  <c r="AI58" i="3"/>
  <c r="AJ58" i="3"/>
  <c r="AK58" i="3"/>
  <c r="AL58" i="3"/>
  <c r="AM58" i="3"/>
  <c r="AB59" i="3"/>
  <c r="AC59" i="3"/>
  <c r="AD59" i="3"/>
  <c r="AE59" i="3"/>
  <c r="AF59" i="3"/>
  <c r="AG59" i="3"/>
  <c r="AH59" i="3"/>
  <c r="AI59" i="3"/>
  <c r="AJ59" i="3"/>
  <c r="AK59" i="3"/>
  <c r="AL59" i="3"/>
  <c r="AM59" i="3"/>
  <c r="AB60" i="3"/>
  <c r="AC60" i="3"/>
  <c r="AD60" i="3"/>
  <c r="AE60" i="3"/>
  <c r="AF60" i="3"/>
  <c r="AG60" i="3"/>
  <c r="AH60" i="3"/>
  <c r="AI60" i="3"/>
  <c r="AJ60" i="3"/>
  <c r="AK60" i="3"/>
  <c r="AL60" i="3"/>
  <c r="AM60" i="3"/>
  <c r="AB61" i="3"/>
  <c r="AC61" i="3"/>
  <c r="AD61" i="3"/>
  <c r="AE61" i="3"/>
  <c r="AF61" i="3"/>
  <c r="AG61" i="3"/>
  <c r="AH61" i="3"/>
  <c r="AI61" i="3"/>
  <c r="AJ61" i="3"/>
  <c r="AK61" i="3"/>
  <c r="AL61" i="3"/>
  <c r="AM61" i="3"/>
  <c r="AB62" i="3"/>
  <c r="AC62" i="3"/>
  <c r="AD62" i="3"/>
  <c r="AE62" i="3"/>
  <c r="AF62" i="3"/>
  <c r="AG62" i="3"/>
  <c r="AH62" i="3"/>
  <c r="AI62" i="3"/>
  <c r="AJ62" i="3"/>
  <c r="AK62" i="3"/>
  <c r="AL62" i="3"/>
  <c r="AM62" i="3"/>
  <c r="AB63" i="3"/>
  <c r="AC63" i="3"/>
  <c r="AD63" i="3"/>
  <c r="AE63" i="3"/>
  <c r="AF63" i="3"/>
  <c r="AG63" i="3"/>
  <c r="AH63" i="3"/>
  <c r="AI63" i="3"/>
  <c r="AJ63" i="3"/>
  <c r="AK63" i="3"/>
  <c r="AL63" i="3"/>
  <c r="AM63" i="3"/>
  <c r="AB64" i="3"/>
  <c r="AC64" i="3"/>
  <c r="AD64" i="3"/>
  <c r="AE64" i="3"/>
  <c r="AF64" i="3"/>
  <c r="AG64" i="3"/>
  <c r="AH64" i="3"/>
  <c r="AI64" i="3"/>
  <c r="AJ64" i="3"/>
  <c r="AK64" i="3"/>
  <c r="AL64" i="3"/>
  <c r="AM64" i="3"/>
  <c r="AB65" i="3"/>
  <c r="AC65" i="3"/>
  <c r="AD65" i="3"/>
  <c r="AE65" i="3"/>
  <c r="AF65" i="3"/>
  <c r="AG65" i="3"/>
  <c r="AH65" i="3"/>
  <c r="AI65" i="3"/>
  <c r="AJ65" i="3"/>
  <c r="AK65" i="3"/>
  <c r="AL65" i="3"/>
  <c r="AM65" i="3"/>
  <c r="AB66" i="3"/>
  <c r="AC66" i="3"/>
  <c r="AD66" i="3"/>
  <c r="AE66" i="3"/>
  <c r="AF66" i="3"/>
  <c r="AG66" i="3"/>
  <c r="AH66" i="3"/>
  <c r="AI66" i="3"/>
  <c r="AJ66" i="3"/>
  <c r="AK66" i="3"/>
  <c r="AL66" i="3"/>
  <c r="AM66" i="3"/>
  <c r="AB67" i="3"/>
  <c r="AC67" i="3"/>
  <c r="AD67" i="3"/>
  <c r="AE67" i="3"/>
  <c r="AF67" i="3"/>
  <c r="AG67" i="3"/>
  <c r="AH67" i="3"/>
  <c r="AI67" i="3"/>
  <c r="AJ67" i="3"/>
  <c r="AK67" i="3"/>
  <c r="AL67" i="3"/>
  <c r="AM67" i="3"/>
  <c r="AB68" i="3"/>
  <c r="AC68" i="3"/>
  <c r="AD68" i="3"/>
  <c r="AE68" i="3"/>
  <c r="AF68" i="3"/>
  <c r="AG68" i="3"/>
  <c r="AH68" i="3"/>
  <c r="AI68" i="3"/>
  <c r="AJ68" i="3"/>
  <c r="AK68" i="3"/>
  <c r="AL68" i="3"/>
  <c r="AM68" i="3"/>
  <c r="AB69" i="3"/>
  <c r="AC69" i="3"/>
  <c r="AD69" i="3"/>
  <c r="AE69" i="3"/>
  <c r="AF69" i="3"/>
  <c r="AG69" i="3"/>
  <c r="AH69" i="3"/>
  <c r="AI69" i="3"/>
  <c r="AJ69" i="3"/>
  <c r="AK69" i="3"/>
  <c r="AL69" i="3"/>
  <c r="AM69" i="3"/>
  <c r="AB70" i="3"/>
  <c r="AC70" i="3"/>
  <c r="AD70" i="3"/>
  <c r="AE70" i="3"/>
  <c r="AF70" i="3"/>
  <c r="AG70" i="3"/>
  <c r="AH70" i="3"/>
  <c r="AI70" i="3"/>
  <c r="AJ70" i="3"/>
  <c r="AK70" i="3"/>
  <c r="AL70" i="3"/>
  <c r="AM70" i="3"/>
  <c r="AB71" i="3"/>
  <c r="AC71" i="3"/>
  <c r="AD71" i="3"/>
  <c r="AE71" i="3"/>
  <c r="AF71" i="3"/>
  <c r="AG71" i="3"/>
  <c r="AH71" i="3"/>
  <c r="AI71" i="3"/>
  <c r="AJ71" i="3"/>
  <c r="AK71" i="3"/>
  <c r="AL71" i="3"/>
  <c r="AM71" i="3"/>
  <c r="AB72" i="3"/>
  <c r="AC72" i="3"/>
  <c r="AD72" i="3"/>
  <c r="AE72" i="3"/>
  <c r="AF72" i="3"/>
  <c r="AG72" i="3"/>
  <c r="AH72" i="3"/>
  <c r="AI72" i="3"/>
  <c r="AJ72" i="3"/>
  <c r="AK72" i="3"/>
  <c r="AL72" i="3"/>
  <c r="AM72" i="3"/>
  <c r="AB73" i="3"/>
  <c r="AC73" i="3"/>
  <c r="AD73" i="3"/>
  <c r="AE73" i="3"/>
  <c r="AF73" i="3"/>
  <c r="AG73" i="3"/>
  <c r="AH73" i="3"/>
  <c r="AI73" i="3"/>
  <c r="AJ73" i="3"/>
  <c r="AK73" i="3"/>
  <c r="AL73" i="3"/>
  <c r="AM73" i="3"/>
  <c r="AB74" i="3"/>
  <c r="AC74" i="3"/>
  <c r="AD74" i="3"/>
  <c r="AE74" i="3"/>
  <c r="AF74" i="3"/>
  <c r="AG74" i="3"/>
  <c r="AH74" i="3"/>
  <c r="AI74" i="3"/>
  <c r="AJ74" i="3"/>
  <c r="AK74" i="3"/>
  <c r="AL74" i="3"/>
  <c r="AM74" i="3"/>
  <c r="AF45" i="3"/>
  <c r="AG45" i="3"/>
  <c r="AH45" i="3"/>
  <c r="AI45" i="3"/>
  <c r="AJ45" i="3"/>
  <c r="AK45" i="3"/>
  <c r="AL45" i="3"/>
  <c r="AM45" i="3"/>
  <c r="AF46" i="3"/>
  <c r="AG46" i="3"/>
  <c r="AH46" i="3"/>
  <c r="AI46" i="3"/>
  <c r="AJ46" i="3"/>
  <c r="AK46" i="3"/>
  <c r="AL46" i="3"/>
  <c r="AM46" i="3"/>
  <c r="AF47" i="3"/>
  <c r="AG47" i="3"/>
  <c r="AH47" i="3"/>
  <c r="AI47" i="3"/>
  <c r="AJ47" i="3"/>
  <c r="AK47" i="3"/>
  <c r="AL47" i="3"/>
  <c r="AM47" i="3"/>
  <c r="AF48" i="3"/>
  <c r="AG48" i="3"/>
  <c r="AH48" i="3"/>
  <c r="AI48" i="3"/>
  <c r="AJ48" i="3"/>
  <c r="AK48" i="3"/>
  <c r="AL48" i="3"/>
  <c r="AM48" i="3"/>
  <c r="AF49" i="3"/>
  <c r="AG49" i="3"/>
  <c r="AH49" i="3"/>
  <c r="AI49" i="3"/>
  <c r="AJ49" i="3"/>
  <c r="AK49" i="3"/>
  <c r="AL49" i="3"/>
  <c r="AM49" i="3"/>
  <c r="AF50" i="3"/>
  <c r="AG50" i="3"/>
  <c r="AH50" i="3"/>
  <c r="AI50" i="3"/>
  <c r="AJ50" i="3"/>
  <c r="AK50" i="3"/>
  <c r="AL50" i="3"/>
  <c r="AM50" i="3"/>
  <c r="AB46" i="3"/>
  <c r="AC46" i="3"/>
  <c r="AD46" i="3"/>
  <c r="AE46" i="3"/>
  <c r="AB47" i="3"/>
  <c r="AC47" i="3"/>
  <c r="AD47" i="3"/>
  <c r="AE47" i="3"/>
  <c r="AB48" i="3"/>
  <c r="AC48" i="3"/>
  <c r="AD48" i="3"/>
  <c r="AE48" i="3"/>
  <c r="AB49" i="3"/>
  <c r="AC49" i="3"/>
  <c r="AD49" i="3"/>
  <c r="AE49" i="3"/>
  <c r="AB50" i="3"/>
  <c r="AC50" i="3"/>
  <c r="AD50" i="3"/>
  <c r="AE50" i="3"/>
  <c r="AC45" i="3"/>
  <c r="AD45" i="3"/>
  <c r="AE45" i="3"/>
  <c r="AB45" i="3"/>
  <c r="S5" i="3" l="1"/>
  <c r="S7" i="3"/>
  <c r="D40" i="29" l="1"/>
  <c r="F40" i="29" l="1"/>
  <c r="I8" i="3"/>
  <c r="W46" i="3" l="1"/>
  <c r="W47" i="3"/>
  <c r="W48" i="3"/>
  <c r="W49" i="3"/>
  <c r="W50" i="3"/>
  <c r="W51" i="3"/>
  <c r="W52" i="3"/>
  <c r="W53" i="3"/>
  <c r="W54" i="3"/>
  <c r="W55" i="3"/>
  <c r="W56" i="3"/>
  <c r="W57" i="3"/>
  <c r="W58" i="3"/>
  <c r="W59" i="3"/>
  <c r="W60" i="3"/>
  <c r="W61" i="3"/>
  <c r="W62" i="3"/>
  <c r="W63" i="3"/>
  <c r="W64" i="3"/>
  <c r="W65" i="3"/>
  <c r="W66" i="3"/>
  <c r="W67" i="3"/>
  <c r="W68" i="3"/>
  <c r="W69" i="3"/>
  <c r="W45" i="3"/>
  <c r="G5" i="3" l="1"/>
  <c r="I12" i="3" l="1"/>
  <c r="I13" i="3"/>
  <c r="I11" i="3"/>
  <c r="I10" i="3" l="1"/>
  <c r="G4" i="3" l="1"/>
  <c r="U28" i="3" s="1"/>
  <c r="U25" i="3"/>
  <c r="U36" i="3" l="1"/>
  <c r="U32" i="3" l="1"/>
  <c r="U39" i="3" s="1"/>
  <c r="U40" i="3" s="1"/>
  <c r="I9" i="3" l="1"/>
  <c r="S6" i="3" l="1"/>
  <c r="C28" i="40" l="1"/>
  <c r="C31" i="40" s="1"/>
  <c r="M47" i="41"/>
  <c r="B18" i="3" a="1"/>
  <c r="B18" i="3" s="1"/>
  <c r="C22" i="40"/>
  <c r="M37" i="41"/>
  <c r="F41" i="41" s="1"/>
  <c r="B34" i="32" l="1"/>
  <c r="M49" i="41"/>
  <c r="C42" i="41"/>
  <c r="C41" i="41"/>
  <c r="B42" i="41" s="1"/>
  <c r="J38" i="41"/>
  <c r="B14" i="3"/>
  <c r="M50" i="41"/>
  <c r="M51" i="41"/>
  <c r="F33" i="41" s="1"/>
  <c r="M48" i="41"/>
  <c r="F37" i="41" l="1"/>
  <c r="B15" i="40"/>
  <c r="B14" i="40" s="1"/>
  <c r="F17" i="40" s="1"/>
  <c r="E35" i="40" s="1"/>
  <c r="R24" i="30"/>
  <c r="S24" i="30"/>
  <c r="F35" i="41"/>
  <c r="C35" i="41" s="1"/>
  <c r="J35" i="41" s="1"/>
  <c r="B13" i="3"/>
  <c r="F39" i="41"/>
  <c r="B15" i="3"/>
  <c r="C34" i="41"/>
  <c r="J34" i="41" s="1"/>
  <c r="C33" i="41"/>
  <c r="B34" i="41" s="1"/>
  <c r="H34" i="41" s="1"/>
  <c r="J36" i="41"/>
  <c r="C37" i="41"/>
  <c r="B38" i="41" s="1"/>
  <c r="H36" i="41" s="1"/>
  <c r="C38" i="41"/>
  <c r="D42" i="40" l="1"/>
  <c r="C41" i="40"/>
  <c r="R24" i="44"/>
  <c r="S24" i="44"/>
  <c r="S16" i="44" s="1"/>
  <c r="Q16" i="44" s="1"/>
  <c r="C36" i="41"/>
  <c r="Q22" i="30"/>
  <c r="D26" i="30"/>
  <c r="D28" i="30" s="1"/>
  <c r="B36" i="41"/>
  <c r="H35" i="41" s="1"/>
  <c r="C39" i="41"/>
  <c r="B40" i="41" s="1"/>
  <c r="H37" i="41" s="1"/>
  <c r="C40" i="41"/>
  <c r="J37" i="41"/>
  <c r="U16" i="44" l="1"/>
  <c r="Q20" i="44"/>
  <c r="R22" i="30"/>
  <c r="S22" i="30" s="1"/>
  <c r="S16" i="30" s="1"/>
  <c r="Q16" i="30" s="1"/>
  <c r="U16" i="30" s="1"/>
  <c r="U22" i="30"/>
  <c r="Q23" i="44" l="1"/>
  <c r="U20" i="44"/>
  <c r="S25" i="44"/>
  <c r="V25" i="44" s="1"/>
  <c r="Q20" i="30"/>
  <c r="R23" i="44" l="1"/>
  <c r="R16" i="44" s="1"/>
  <c r="U23" i="44"/>
  <c r="R25" i="44"/>
  <c r="U25" i="44" s="1"/>
  <c r="Q23" i="30"/>
  <c r="R25" i="30" s="1"/>
  <c r="U25" i="30" s="1"/>
  <c r="U20" i="30"/>
  <c r="S25" i="30"/>
  <c r="V25" i="30" s="1"/>
  <c r="U23" i="30" l="1"/>
  <c r="R23" i="30"/>
  <c r="R16" i="3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<sst xmlns="http://schemas.openxmlformats.org/spreadsheetml/2006/main" count="405" uniqueCount="226">
  <si>
    <t>Fahrzeug</t>
  </si>
  <si>
    <t>A=</t>
  </si>
  <si>
    <t>Motor/Kupplung</t>
  </si>
  <si>
    <t>Luft/Kraftstoff</t>
  </si>
  <si>
    <t>H =</t>
  </si>
  <si>
    <r>
      <t>n</t>
    </r>
    <r>
      <rPr>
        <vertAlign val="subscript"/>
        <sz val="12"/>
        <color theme="1"/>
        <rFont val="Calibri"/>
        <family val="2"/>
        <scheme val="minor"/>
      </rPr>
      <t xml:space="preserve"> </t>
    </r>
    <r>
      <rPr>
        <sz val="12"/>
        <color theme="1"/>
        <rFont val="Calibri"/>
        <family val="2"/>
        <scheme val="minor"/>
      </rPr>
      <t>=</t>
    </r>
  </si>
  <si>
    <r>
      <rPr>
        <sz val="12"/>
        <color theme="1"/>
        <rFont val="Calibri"/>
        <family val="2"/>
      </rPr>
      <t>ρ</t>
    </r>
    <r>
      <rPr>
        <vertAlign val="subscript"/>
        <sz val="12"/>
        <color theme="1"/>
        <rFont val="Calibri"/>
        <family val="2"/>
        <scheme val="minor"/>
      </rPr>
      <t>Luft</t>
    </r>
    <r>
      <rPr>
        <sz val="12"/>
        <color theme="1"/>
        <rFont val="Calibri"/>
        <family val="2"/>
        <scheme val="minor"/>
      </rPr>
      <t xml:space="preserve"> =</t>
    </r>
  </si>
  <si>
    <r>
      <rPr>
        <sz val="12"/>
        <color theme="1"/>
        <rFont val="Calibri"/>
        <family val="2"/>
      </rPr>
      <t>ρ</t>
    </r>
    <r>
      <rPr>
        <vertAlign val="subscript"/>
        <sz val="12"/>
        <color theme="1"/>
        <rFont val="Calibri"/>
        <family val="2"/>
        <scheme val="minor"/>
      </rPr>
      <t>Kraftst</t>
    </r>
    <r>
      <rPr>
        <sz val="12"/>
        <color theme="1"/>
        <rFont val="Calibri"/>
        <family val="2"/>
        <scheme val="minor"/>
      </rPr>
      <t xml:space="preserve"> =</t>
    </r>
  </si>
  <si>
    <t>Nebenrechnungen</t>
  </si>
  <si>
    <r>
      <t>l</t>
    </r>
    <r>
      <rPr>
        <vertAlign val="subscript"/>
        <sz val="12"/>
        <color theme="1"/>
        <rFont val="Calibri"/>
        <family val="2"/>
        <scheme val="minor"/>
      </rPr>
      <t>h</t>
    </r>
    <r>
      <rPr>
        <sz val="12"/>
        <color theme="1"/>
        <rFont val="Calibri"/>
        <family val="2"/>
        <scheme val="minor"/>
      </rPr>
      <t xml:space="preserve"> =</t>
    </r>
  </si>
  <si>
    <r>
      <t>l</t>
    </r>
    <r>
      <rPr>
        <vertAlign val="subscript"/>
        <sz val="12"/>
        <color theme="1"/>
        <rFont val="Calibri"/>
        <family val="2"/>
        <scheme val="minor"/>
      </rPr>
      <t>v</t>
    </r>
    <r>
      <rPr>
        <sz val="12"/>
        <color theme="1"/>
        <rFont val="Calibri"/>
        <family val="2"/>
        <scheme val="minor"/>
      </rPr>
      <t xml:space="preserve"> =</t>
    </r>
  </si>
  <si>
    <r>
      <t>h</t>
    </r>
    <r>
      <rPr>
        <vertAlign val="subscript"/>
        <sz val="12"/>
        <color theme="1"/>
        <rFont val="Calibri"/>
        <family val="2"/>
        <scheme val="minor"/>
      </rPr>
      <t>S</t>
    </r>
    <r>
      <rPr>
        <sz val="12"/>
        <color theme="1"/>
        <rFont val="Calibri"/>
        <family val="2"/>
        <scheme val="minor"/>
      </rPr>
      <t xml:space="preserve"> =</t>
    </r>
  </si>
  <si>
    <t>Aufgabe a)</t>
  </si>
  <si>
    <t>g =</t>
  </si>
  <si>
    <t>Aufgabe b)</t>
  </si>
  <si>
    <t>Gegeben:</t>
  </si>
  <si>
    <t>v =</t>
  </si>
  <si>
    <t>Aufgabe c)</t>
  </si>
  <si>
    <t>Höchstgeschwindigkeit</t>
  </si>
  <si>
    <r>
      <t>a</t>
    </r>
    <r>
      <rPr>
        <vertAlign val="subscript"/>
        <sz val="11"/>
        <color theme="1"/>
        <rFont val="Calibri"/>
        <family val="2"/>
        <scheme val="minor"/>
      </rPr>
      <t>1</t>
    </r>
    <r>
      <rPr>
        <sz val="11"/>
        <color theme="1"/>
        <rFont val="Calibri"/>
        <family val="2"/>
        <scheme val="minor"/>
      </rPr>
      <t xml:space="preserve"> =</t>
    </r>
  </si>
  <si>
    <r>
      <t>a</t>
    </r>
    <r>
      <rPr>
        <vertAlign val="subscript"/>
        <sz val="11"/>
        <color theme="1"/>
        <rFont val="Calibri"/>
        <family val="2"/>
        <scheme val="minor"/>
      </rPr>
      <t>2</t>
    </r>
    <r>
      <rPr>
        <sz val="11"/>
        <color theme="1"/>
        <rFont val="Calibri"/>
        <family val="2"/>
        <scheme val="minor"/>
      </rPr>
      <t xml:space="preserve"> =</t>
    </r>
  </si>
  <si>
    <t>q =</t>
  </si>
  <si>
    <t>p =</t>
  </si>
  <si>
    <t>200b</t>
  </si>
  <si>
    <t>250b</t>
  </si>
  <si>
    <t>a)</t>
  </si>
  <si>
    <t>b)</t>
  </si>
  <si>
    <t>c)</t>
  </si>
  <si>
    <t>d)</t>
  </si>
  <si>
    <t>Aufgabe 1</t>
  </si>
  <si>
    <t>Aufgabe 2</t>
  </si>
  <si>
    <t>Aufgabe 3</t>
  </si>
  <si>
    <t>Aufgabe 4</t>
  </si>
  <si>
    <t>e)</t>
  </si>
  <si>
    <t>f)</t>
  </si>
  <si>
    <t>g)</t>
  </si>
  <si>
    <t>h)</t>
  </si>
  <si>
    <t>richtig   falsch</t>
  </si>
  <si>
    <t>gegeben:</t>
  </si>
  <si>
    <r>
      <t>n</t>
    </r>
    <r>
      <rPr>
        <vertAlign val="subscript"/>
        <sz val="12"/>
        <color theme="1"/>
        <rFont val="Calibri"/>
        <family val="2"/>
        <scheme val="minor"/>
      </rPr>
      <t xml:space="preserve">max </t>
    </r>
    <r>
      <rPr>
        <sz val="12"/>
        <color theme="1"/>
        <rFont val="Calibri"/>
        <family val="2"/>
        <scheme val="minor"/>
      </rPr>
      <t>=</t>
    </r>
  </si>
  <si>
    <t>Summe:</t>
  </si>
  <si>
    <r>
      <t>h</t>
    </r>
    <r>
      <rPr>
        <vertAlign val="subscript"/>
        <sz val="11"/>
        <color theme="1"/>
        <rFont val="Calibri"/>
        <family val="2"/>
        <scheme val="minor"/>
      </rPr>
      <t>LW</t>
    </r>
    <r>
      <rPr>
        <sz val="11"/>
        <color theme="1"/>
        <rFont val="Calibri"/>
        <family val="2"/>
        <scheme val="minor"/>
      </rPr>
      <t>=</t>
    </r>
  </si>
  <si>
    <t>Kreuzen Sie bitte an, ob die Aussage richtig oder falsch ist.</t>
  </si>
  <si>
    <t>v=</t>
  </si>
  <si>
    <t>Summe 1</t>
  </si>
  <si>
    <t xml:space="preserve"> </t>
  </si>
  <si>
    <r>
      <t>F</t>
    </r>
    <r>
      <rPr>
        <vertAlign val="subscript"/>
        <sz val="11"/>
        <color theme="1"/>
        <rFont val="Calibri"/>
        <family val="2"/>
        <scheme val="minor"/>
      </rPr>
      <t>LW</t>
    </r>
    <r>
      <rPr>
        <sz val="11"/>
        <color theme="1"/>
        <rFont val="Calibri"/>
        <family val="2"/>
        <scheme val="minor"/>
      </rPr>
      <t xml:space="preserve">  =</t>
    </r>
  </si>
  <si>
    <t xml:space="preserve">Gegeben: </t>
  </si>
  <si>
    <t>a=</t>
  </si>
  <si>
    <t>Aufgabe 8</t>
  </si>
  <si>
    <r>
      <t>i</t>
    </r>
    <r>
      <rPr>
        <vertAlign val="subscript"/>
        <sz val="11"/>
        <color theme="1"/>
        <rFont val="Calibri"/>
        <family val="2"/>
        <scheme val="minor"/>
      </rPr>
      <t>2</t>
    </r>
    <r>
      <rPr>
        <sz val="11"/>
        <color theme="1"/>
        <rFont val="Calibri"/>
        <family val="2"/>
        <scheme val="minor"/>
      </rPr>
      <t xml:space="preserve"> =</t>
    </r>
  </si>
  <si>
    <r>
      <t>i</t>
    </r>
    <r>
      <rPr>
        <vertAlign val="subscript"/>
        <sz val="11"/>
        <color theme="1"/>
        <rFont val="Calibri"/>
        <family val="2"/>
        <scheme val="minor"/>
      </rPr>
      <t>3</t>
    </r>
    <r>
      <rPr>
        <sz val="11"/>
        <color theme="1"/>
        <rFont val="Calibri"/>
        <family val="2"/>
        <scheme val="minor"/>
      </rPr>
      <t xml:space="preserve"> =</t>
    </r>
  </si>
  <si>
    <r>
      <t>i</t>
    </r>
    <r>
      <rPr>
        <vertAlign val="subscript"/>
        <sz val="11"/>
        <color theme="1"/>
        <rFont val="Calibri"/>
        <family val="2"/>
        <scheme val="minor"/>
      </rPr>
      <t>4</t>
    </r>
    <r>
      <rPr>
        <sz val="11"/>
        <color theme="1"/>
        <rFont val="Calibri"/>
        <family val="2"/>
        <scheme val="minor"/>
      </rPr>
      <t xml:space="preserve"> =</t>
    </r>
  </si>
  <si>
    <r>
      <t>i</t>
    </r>
    <r>
      <rPr>
        <vertAlign val="subscript"/>
        <sz val="11"/>
        <color theme="1"/>
        <rFont val="Calibri"/>
        <family val="2"/>
        <scheme val="minor"/>
      </rPr>
      <t>5</t>
    </r>
    <r>
      <rPr>
        <sz val="11"/>
        <color theme="1"/>
        <rFont val="Calibri"/>
        <family val="2"/>
        <scheme val="minor"/>
      </rPr>
      <t>=</t>
    </r>
  </si>
  <si>
    <t>-</t>
  </si>
  <si>
    <t>+</t>
  </si>
  <si>
    <t>Alternativ</t>
  </si>
  <si>
    <r>
      <t>P</t>
    </r>
    <r>
      <rPr>
        <vertAlign val="subscript"/>
        <sz val="11"/>
        <color theme="1"/>
        <rFont val="Calibri"/>
        <family val="2"/>
        <scheme val="minor"/>
      </rPr>
      <t>N</t>
    </r>
    <r>
      <rPr>
        <sz val="11"/>
        <color theme="1"/>
        <rFont val="Calibri"/>
        <family val="2"/>
        <scheme val="minor"/>
      </rPr>
      <t>=</t>
    </r>
  </si>
  <si>
    <r>
      <t>P</t>
    </r>
    <r>
      <rPr>
        <vertAlign val="subscript"/>
        <sz val="11"/>
        <color theme="1"/>
        <rFont val="Calibri"/>
        <family val="2"/>
        <scheme val="minor"/>
      </rPr>
      <t>e</t>
    </r>
    <r>
      <rPr>
        <sz val="11"/>
        <color theme="1"/>
        <rFont val="Calibri"/>
        <family val="2"/>
        <scheme val="minor"/>
      </rPr>
      <t>=</t>
    </r>
  </si>
  <si>
    <t>Antriebsstrang (Getriebe und Antriebsachse)</t>
  </si>
  <si>
    <r>
      <t>n</t>
    </r>
    <r>
      <rPr>
        <vertAlign val="subscript"/>
        <sz val="11"/>
        <color theme="1"/>
        <rFont val="Calibri"/>
        <family val="2"/>
        <scheme val="minor"/>
      </rPr>
      <t>M</t>
    </r>
    <r>
      <rPr>
        <sz val="11"/>
        <color theme="1"/>
        <rFont val="Calibri"/>
        <family val="2"/>
        <scheme val="minor"/>
      </rPr>
      <t>=</t>
    </r>
  </si>
  <si>
    <t>Betriebspunkt im Diagramm</t>
  </si>
  <si>
    <r>
      <t>P</t>
    </r>
    <r>
      <rPr>
        <vertAlign val="subscript"/>
        <sz val="11"/>
        <color theme="1"/>
        <rFont val="Calibri"/>
        <family val="2"/>
        <scheme val="minor"/>
      </rPr>
      <t>S</t>
    </r>
    <r>
      <rPr>
        <sz val="11"/>
        <color theme="1"/>
        <rFont val="Calibri"/>
        <family val="2"/>
        <scheme val="minor"/>
      </rPr>
      <t>=</t>
    </r>
  </si>
  <si>
    <r>
      <t>a</t>
    </r>
    <r>
      <rPr>
        <vertAlign val="subscript"/>
        <sz val="11"/>
        <color theme="1"/>
        <rFont val="Calibri"/>
        <family val="2"/>
        <scheme val="minor"/>
      </rPr>
      <t xml:space="preserve">y </t>
    </r>
    <r>
      <rPr>
        <sz val="11"/>
        <color theme="1"/>
        <rFont val="Calibri"/>
        <family val="2"/>
        <scheme val="minor"/>
      </rPr>
      <t>=</t>
    </r>
  </si>
  <si>
    <t>Spreizung =</t>
  </si>
  <si>
    <r>
      <t>i</t>
    </r>
    <r>
      <rPr>
        <vertAlign val="subscript"/>
        <sz val="11"/>
        <color theme="1"/>
        <rFont val="Calibri"/>
        <family val="2"/>
        <scheme val="minor"/>
      </rPr>
      <t>1</t>
    </r>
    <r>
      <rPr>
        <sz val="11"/>
        <color theme="1"/>
        <rFont val="Calibri"/>
        <family val="2"/>
        <scheme val="minor"/>
      </rPr>
      <t>=</t>
    </r>
  </si>
  <si>
    <r>
      <rPr>
        <sz val="11"/>
        <color theme="1"/>
        <rFont val="Calibri"/>
        <family val="2"/>
      </rPr>
      <t>ρ</t>
    </r>
    <r>
      <rPr>
        <vertAlign val="subscript"/>
        <sz val="11"/>
        <color theme="1"/>
        <rFont val="Calibri"/>
        <family val="2"/>
        <scheme val="minor"/>
      </rPr>
      <t>𝑡ℎ</t>
    </r>
    <r>
      <rPr>
        <sz val="11"/>
        <color theme="1"/>
        <rFont val="Calibri"/>
        <family val="2"/>
        <scheme val="minor"/>
      </rPr>
      <t>=</t>
    </r>
  </si>
  <si>
    <r>
      <t>J</t>
    </r>
    <r>
      <rPr>
        <vertAlign val="subscript"/>
        <sz val="12"/>
        <color theme="1"/>
        <rFont val="Calibri"/>
        <family val="2"/>
      </rPr>
      <t>M</t>
    </r>
    <r>
      <rPr>
        <sz val="12"/>
        <color theme="1"/>
        <rFont val="Calibri"/>
        <family val="2"/>
      </rPr>
      <t xml:space="preserve"> (Motor) =</t>
    </r>
  </si>
  <si>
    <r>
      <t>J</t>
    </r>
    <r>
      <rPr>
        <vertAlign val="subscript"/>
        <sz val="12"/>
        <color theme="1"/>
        <rFont val="Calibri"/>
        <family val="2"/>
      </rPr>
      <t>R</t>
    </r>
    <r>
      <rPr>
        <sz val="12"/>
        <color theme="1"/>
        <rFont val="Calibri"/>
        <family val="2"/>
      </rPr>
      <t xml:space="preserve"> (je Rad) =</t>
    </r>
  </si>
  <si>
    <t>Ersatzwert</t>
  </si>
  <si>
    <r>
      <t>B</t>
    </r>
    <r>
      <rPr>
        <vertAlign val="subscript"/>
        <sz val="11"/>
        <color theme="1"/>
        <rFont val="Calibri"/>
        <family val="2"/>
        <scheme val="minor"/>
      </rPr>
      <t>S</t>
    </r>
    <r>
      <rPr>
        <sz val="11"/>
        <color theme="1"/>
        <rFont val="Calibri"/>
        <family val="2"/>
        <scheme val="minor"/>
      </rPr>
      <t>=</t>
    </r>
  </si>
  <si>
    <t>δ =</t>
  </si>
  <si>
    <r>
      <t>η</t>
    </r>
    <r>
      <rPr>
        <vertAlign val="subscript"/>
        <sz val="12"/>
        <color theme="1"/>
        <rFont val="Calibri"/>
        <family val="2"/>
      </rPr>
      <t>tr (Triebstrang</t>
    </r>
    <r>
      <rPr>
        <sz val="9"/>
        <color theme="1"/>
        <rFont val="Calibri"/>
        <family val="2"/>
      </rPr>
      <t>) =</t>
    </r>
  </si>
  <si>
    <r>
      <t>i</t>
    </r>
    <r>
      <rPr>
        <vertAlign val="subscript"/>
        <sz val="14"/>
        <color theme="1"/>
        <rFont val="Calibri"/>
        <family val="2"/>
        <scheme val="minor"/>
      </rPr>
      <t>G_ges</t>
    </r>
    <r>
      <rPr>
        <sz val="14"/>
        <color theme="1"/>
        <rFont val="Calibri"/>
        <family val="2"/>
        <scheme val="minor"/>
      </rPr>
      <t>=</t>
    </r>
  </si>
  <si>
    <r>
      <t>i</t>
    </r>
    <r>
      <rPr>
        <vertAlign val="subscript"/>
        <sz val="14"/>
        <color theme="1"/>
        <rFont val="Calibri"/>
        <family val="2"/>
        <scheme val="minor"/>
      </rPr>
      <t>Achse</t>
    </r>
    <r>
      <rPr>
        <sz val="14"/>
        <color theme="1"/>
        <rFont val="Calibri"/>
        <family val="2"/>
        <scheme val="minor"/>
      </rPr>
      <t xml:space="preserve"> =</t>
    </r>
  </si>
  <si>
    <r>
      <t>C</t>
    </r>
    <r>
      <rPr>
        <vertAlign val="subscript"/>
        <sz val="14"/>
        <color theme="1"/>
        <rFont val="Calibri"/>
        <family val="2"/>
        <scheme val="minor"/>
      </rPr>
      <t>av</t>
    </r>
    <r>
      <rPr>
        <sz val="14"/>
        <color theme="1"/>
        <rFont val="Calibri"/>
        <family val="2"/>
        <scheme val="minor"/>
      </rPr>
      <t xml:space="preserve"> =</t>
    </r>
  </si>
  <si>
    <r>
      <t>C</t>
    </r>
    <r>
      <rPr>
        <vertAlign val="subscript"/>
        <sz val="14"/>
        <color theme="1"/>
        <rFont val="Calibri"/>
        <family val="2"/>
        <scheme val="minor"/>
      </rPr>
      <t>ah</t>
    </r>
    <r>
      <rPr>
        <sz val="14"/>
        <color theme="1"/>
        <rFont val="Calibri"/>
        <family val="2"/>
        <scheme val="minor"/>
      </rPr>
      <t xml:space="preserve"> =</t>
    </r>
  </si>
  <si>
    <r>
      <t>l</t>
    </r>
    <r>
      <rPr>
        <vertAlign val="subscript"/>
        <sz val="14"/>
        <color theme="1"/>
        <rFont val="Calibri"/>
        <family val="2"/>
        <scheme val="minor"/>
      </rPr>
      <t>h</t>
    </r>
    <r>
      <rPr>
        <sz val="14"/>
        <color theme="1"/>
        <rFont val="Calibri"/>
        <family val="2"/>
        <scheme val="minor"/>
      </rPr>
      <t xml:space="preserve"> =</t>
    </r>
  </si>
  <si>
    <r>
      <t>P</t>
    </r>
    <r>
      <rPr>
        <vertAlign val="subscript"/>
        <sz val="14"/>
        <color theme="1"/>
        <rFont val="Calibri"/>
        <family val="2"/>
        <scheme val="minor"/>
      </rPr>
      <t>nenn</t>
    </r>
    <r>
      <rPr>
        <sz val="14"/>
        <color theme="1"/>
        <rFont val="Calibri"/>
        <family val="2"/>
        <scheme val="minor"/>
      </rPr>
      <t xml:space="preserve"> =</t>
    </r>
  </si>
  <si>
    <r>
      <t>n</t>
    </r>
    <r>
      <rPr>
        <vertAlign val="subscript"/>
        <sz val="14"/>
        <color theme="1"/>
        <rFont val="Calibri"/>
        <family val="2"/>
        <scheme val="minor"/>
      </rPr>
      <t xml:space="preserve">nenn </t>
    </r>
    <r>
      <rPr>
        <sz val="14"/>
        <color theme="1"/>
        <rFont val="Calibri"/>
        <family val="2"/>
        <scheme val="minor"/>
      </rPr>
      <t>=</t>
    </r>
  </si>
  <si>
    <r>
      <t>M</t>
    </r>
    <r>
      <rPr>
        <vertAlign val="subscript"/>
        <sz val="14"/>
        <color theme="1"/>
        <rFont val="Calibri"/>
        <family val="2"/>
        <scheme val="minor"/>
      </rPr>
      <t>max</t>
    </r>
    <r>
      <rPr>
        <sz val="14"/>
        <color theme="1"/>
        <rFont val="Calibri"/>
        <family val="2"/>
        <scheme val="minor"/>
      </rPr>
      <t xml:space="preserve"> =</t>
    </r>
  </si>
  <si>
    <r>
      <t>n</t>
    </r>
    <r>
      <rPr>
        <vertAlign val="subscript"/>
        <sz val="14"/>
        <color theme="1"/>
        <rFont val="Calibri"/>
        <family val="2"/>
        <scheme val="minor"/>
      </rPr>
      <t>(max)</t>
    </r>
    <r>
      <rPr>
        <sz val="14"/>
        <color theme="1"/>
        <rFont val="Calibri"/>
        <family val="2"/>
        <scheme val="minor"/>
      </rPr>
      <t xml:space="preserve"> =</t>
    </r>
  </si>
  <si>
    <r>
      <t>m</t>
    </r>
    <r>
      <rPr>
        <vertAlign val="subscript"/>
        <sz val="14"/>
        <color theme="1"/>
        <rFont val="Calibri"/>
        <family val="2"/>
        <scheme val="minor"/>
      </rPr>
      <t>F</t>
    </r>
    <r>
      <rPr>
        <sz val="14"/>
        <color theme="1"/>
        <rFont val="Calibri"/>
        <family val="2"/>
        <scheme val="minor"/>
      </rPr>
      <t>=</t>
    </r>
  </si>
  <si>
    <r>
      <t xml:space="preserve">r </t>
    </r>
    <r>
      <rPr>
        <vertAlign val="subscript"/>
        <sz val="14"/>
        <color theme="1"/>
        <rFont val="Calibri"/>
        <family val="2"/>
        <scheme val="minor"/>
      </rPr>
      <t>dyn</t>
    </r>
    <r>
      <rPr>
        <sz val="14"/>
        <color theme="1"/>
        <rFont val="Calibri"/>
        <family val="2"/>
        <scheme val="minor"/>
      </rPr>
      <t xml:space="preserve"> =</t>
    </r>
  </si>
  <si>
    <r>
      <t xml:space="preserve">f </t>
    </r>
    <r>
      <rPr>
        <vertAlign val="subscript"/>
        <sz val="14"/>
        <color theme="1"/>
        <rFont val="Calibri"/>
        <family val="2"/>
        <scheme val="minor"/>
      </rPr>
      <t>R</t>
    </r>
    <r>
      <rPr>
        <sz val="14"/>
        <color theme="1"/>
        <rFont val="Calibri"/>
        <family val="2"/>
        <scheme val="minor"/>
      </rPr>
      <t xml:space="preserve"> =</t>
    </r>
  </si>
  <si>
    <r>
      <t xml:space="preserve">c </t>
    </r>
    <r>
      <rPr>
        <vertAlign val="subscript"/>
        <sz val="14"/>
        <color theme="1"/>
        <rFont val="Calibri"/>
        <family val="2"/>
        <scheme val="minor"/>
      </rPr>
      <t>W</t>
    </r>
    <r>
      <rPr>
        <sz val="14"/>
        <color theme="1"/>
        <rFont val="Calibri"/>
        <family val="2"/>
        <scheme val="minor"/>
      </rPr>
      <t xml:space="preserve"> =</t>
    </r>
  </si>
  <si>
    <r>
      <t>i</t>
    </r>
    <r>
      <rPr>
        <vertAlign val="subscript"/>
        <sz val="14"/>
        <color theme="1"/>
        <rFont val="Calibri"/>
        <family val="2"/>
        <scheme val="minor"/>
      </rPr>
      <t>1</t>
    </r>
    <r>
      <rPr>
        <sz val="14"/>
        <color theme="1"/>
        <rFont val="Calibri"/>
        <family val="2"/>
        <scheme val="minor"/>
      </rPr>
      <t xml:space="preserve"> =</t>
    </r>
  </si>
  <si>
    <r>
      <t>i</t>
    </r>
    <r>
      <rPr>
        <vertAlign val="subscript"/>
        <sz val="14"/>
        <color theme="1"/>
        <rFont val="Calibri"/>
        <family val="2"/>
        <scheme val="minor"/>
      </rPr>
      <t>2</t>
    </r>
    <r>
      <rPr>
        <sz val="14"/>
        <color theme="1"/>
        <rFont val="Calibri"/>
        <family val="2"/>
        <scheme val="minor"/>
      </rPr>
      <t xml:space="preserve"> =</t>
    </r>
  </si>
  <si>
    <r>
      <t>i</t>
    </r>
    <r>
      <rPr>
        <vertAlign val="subscript"/>
        <sz val="14"/>
        <color theme="1"/>
        <rFont val="Calibri"/>
        <family val="2"/>
        <scheme val="minor"/>
      </rPr>
      <t>3</t>
    </r>
    <r>
      <rPr>
        <sz val="14"/>
        <color theme="1"/>
        <rFont val="Calibri"/>
        <family val="2"/>
        <scheme val="minor"/>
      </rPr>
      <t xml:space="preserve"> =</t>
    </r>
  </si>
  <si>
    <r>
      <t>i</t>
    </r>
    <r>
      <rPr>
        <vertAlign val="subscript"/>
        <sz val="14"/>
        <color theme="1"/>
        <rFont val="Calibri"/>
        <family val="2"/>
        <scheme val="minor"/>
      </rPr>
      <t>4</t>
    </r>
    <r>
      <rPr>
        <sz val="14"/>
        <color theme="1"/>
        <rFont val="Calibri"/>
        <family val="2"/>
        <scheme val="minor"/>
      </rPr>
      <t xml:space="preserve"> =</t>
    </r>
  </si>
  <si>
    <r>
      <t>i</t>
    </r>
    <r>
      <rPr>
        <vertAlign val="subscript"/>
        <sz val="14"/>
        <color theme="1"/>
        <rFont val="Calibri"/>
        <family val="2"/>
        <scheme val="minor"/>
      </rPr>
      <t>5</t>
    </r>
    <r>
      <rPr>
        <sz val="14"/>
        <color theme="1"/>
        <rFont val="Calibri"/>
        <family val="2"/>
        <scheme val="minor"/>
      </rPr>
      <t xml:space="preserve"> =</t>
    </r>
  </si>
  <si>
    <t>Kräfte</t>
  </si>
  <si>
    <t>Längen</t>
  </si>
  <si>
    <t>Höhen</t>
  </si>
  <si>
    <r>
      <t>F</t>
    </r>
    <r>
      <rPr>
        <vertAlign val="subscript"/>
        <sz val="11"/>
        <color theme="1"/>
        <rFont val="Calibri"/>
        <family val="2"/>
        <scheme val="minor"/>
      </rPr>
      <t>LW</t>
    </r>
    <r>
      <rPr>
        <sz val="11"/>
        <color theme="1"/>
        <rFont val="Calibri"/>
        <family val="2"/>
        <scheme val="minor"/>
      </rPr>
      <t>=</t>
    </r>
  </si>
  <si>
    <r>
      <t>F</t>
    </r>
    <r>
      <rPr>
        <vertAlign val="subscript"/>
        <sz val="11"/>
        <color theme="1"/>
        <rFont val="Calibri"/>
        <family val="2"/>
        <scheme val="minor"/>
      </rPr>
      <t>R</t>
    </r>
    <r>
      <rPr>
        <sz val="11"/>
        <color theme="1"/>
        <rFont val="Calibri"/>
        <family val="2"/>
        <scheme val="minor"/>
      </rPr>
      <t>=</t>
    </r>
  </si>
  <si>
    <r>
      <t>F</t>
    </r>
    <r>
      <rPr>
        <vertAlign val="subscript"/>
        <sz val="11"/>
        <color theme="1"/>
        <rFont val="Calibri"/>
        <family val="2"/>
        <scheme val="minor"/>
      </rPr>
      <t>Z</t>
    </r>
    <r>
      <rPr>
        <sz val="11"/>
        <color theme="1"/>
        <rFont val="Calibri"/>
        <family val="2"/>
        <scheme val="minor"/>
      </rPr>
      <t>=</t>
    </r>
  </si>
  <si>
    <t xml:space="preserve">Gegeben ist ein Fünfganggetriebe mit einer Spreizung von 5,5. Die Übersetzung im 1. Gang beträgt 4,4. Bestimmen Sie die Übersetzungen in den Gängen 2 bis 5 bei einer geometrischen Getriebeauslegung.
</t>
  </si>
  <si>
    <t>z=</t>
  </si>
  <si>
    <r>
      <t>i</t>
    </r>
    <r>
      <rPr>
        <vertAlign val="subscript"/>
        <sz val="11"/>
        <color theme="1"/>
        <rFont val="Calibri"/>
        <family val="2"/>
        <scheme val="minor"/>
      </rPr>
      <t>5</t>
    </r>
    <r>
      <rPr>
        <sz val="11"/>
        <color theme="1"/>
        <rFont val="Calibri"/>
        <family val="2"/>
        <scheme val="minor"/>
      </rPr>
      <t xml:space="preserve"> =</t>
    </r>
  </si>
  <si>
    <t>Summe=</t>
  </si>
  <si>
    <t>Bremsung</t>
  </si>
  <si>
    <t>hs=</t>
  </si>
  <si>
    <r>
      <t>F</t>
    </r>
    <r>
      <rPr>
        <vertAlign val="subscript"/>
        <sz val="11"/>
        <color theme="1"/>
        <rFont val="Calibri"/>
        <family val="2"/>
        <scheme val="minor"/>
      </rPr>
      <t>B</t>
    </r>
    <r>
      <rPr>
        <sz val="11"/>
        <color theme="1"/>
        <rFont val="Calibri"/>
        <family val="2"/>
        <scheme val="minor"/>
      </rPr>
      <t>=</t>
    </r>
  </si>
  <si>
    <t>s=</t>
  </si>
  <si>
    <r>
      <t>v</t>
    </r>
    <r>
      <rPr>
        <vertAlign val="subscript"/>
        <sz val="11"/>
        <color theme="1"/>
        <rFont val="Calibri"/>
        <family val="2"/>
        <scheme val="minor"/>
      </rPr>
      <t>0</t>
    </r>
    <r>
      <rPr>
        <sz val="11"/>
        <color theme="1"/>
        <rFont val="Calibri"/>
        <family val="2"/>
        <scheme val="minor"/>
      </rPr>
      <t>=</t>
    </r>
  </si>
  <si>
    <r>
      <t>v</t>
    </r>
    <r>
      <rPr>
        <vertAlign val="subscript"/>
        <sz val="11"/>
        <color theme="1"/>
        <rFont val="Calibri"/>
        <family val="2"/>
        <scheme val="minor"/>
      </rPr>
      <t>LW_mittel</t>
    </r>
    <r>
      <rPr>
        <sz val="11"/>
        <color theme="1"/>
        <rFont val="Calibri"/>
        <family val="2"/>
        <scheme val="minor"/>
      </rPr>
      <t>=</t>
    </r>
  </si>
  <si>
    <r>
      <t>F</t>
    </r>
    <r>
      <rPr>
        <vertAlign val="subscript"/>
        <sz val="11"/>
        <color theme="1"/>
        <rFont val="Calibri"/>
        <family val="2"/>
        <scheme val="minor"/>
      </rPr>
      <t>NV</t>
    </r>
    <r>
      <rPr>
        <sz val="11"/>
        <color theme="1"/>
        <rFont val="Calibri"/>
        <family val="2"/>
        <scheme val="minor"/>
      </rPr>
      <t>=</t>
    </r>
  </si>
  <si>
    <r>
      <t>F</t>
    </r>
    <r>
      <rPr>
        <vertAlign val="subscript"/>
        <sz val="11"/>
        <color theme="1"/>
        <rFont val="Calibri"/>
        <family val="2"/>
        <scheme val="minor"/>
      </rPr>
      <t>G</t>
    </r>
    <r>
      <rPr>
        <sz val="11"/>
        <color theme="1"/>
        <rFont val="Calibri"/>
        <family val="2"/>
        <scheme val="minor"/>
      </rPr>
      <t xml:space="preserve"> =</t>
    </r>
  </si>
  <si>
    <t>EG=</t>
  </si>
  <si>
    <t xml:space="preserve">Ihr Fahrzeug bremst aus einer Geschwindigkeit von 100 km/h mit gleichmäßig innerhalb von 40m bis zum Stillstand ab. Der Angriffspunkt der Luftwiderstandskraft liegt 0,9 m hoch. 
a. Zeichnen Sie die für die Berechnung erforderlichen Kräfte und Längen in die Skizze ein.
b. Berechnen sie die Beschleunigung des Fahrzeuges bei konstanter Bremsung.
c. Bestimmen Sie nun die Achslasten bei konstanter linearer Bremsung (nehmen Sie hierbei für die Bestimmung der Luftwiderstandkraft eine konstanten Luftanströmgeschwindigkeit von 50km/h an).
</t>
  </si>
  <si>
    <r>
      <t>F</t>
    </r>
    <r>
      <rPr>
        <vertAlign val="subscript"/>
        <sz val="11"/>
        <color theme="1"/>
        <rFont val="Calibri"/>
        <family val="2"/>
        <scheme val="minor"/>
      </rPr>
      <t>Nh</t>
    </r>
    <r>
      <rPr>
        <sz val="11"/>
        <color theme="1"/>
        <rFont val="Calibri"/>
        <family val="2"/>
        <scheme val="minor"/>
      </rPr>
      <t>=</t>
    </r>
  </si>
  <si>
    <r>
      <t>F</t>
    </r>
    <r>
      <rPr>
        <vertAlign val="subscript"/>
        <sz val="11"/>
        <color theme="1"/>
        <rFont val="Calibri"/>
        <family val="2"/>
        <scheme val="minor"/>
      </rPr>
      <t>St</t>
    </r>
    <r>
      <rPr>
        <sz val="11"/>
        <color theme="1"/>
        <rFont val="Calibri"/>
        <family val="2"/>
        <scheme val="minor"/>
      </rPr>
      <t>=</t>
    </r>
  </si>
  <si>
    <t>p=</t>
  </si>
  <si>
    <r>
      <t>v</t>
    </r>
    <r>
      <rPr>
        <vertAlign val="subscript"/>
        <sz val="11"/>
        <color theme="1"/>
        <rFont val="Calibri"/>
        <family val="2"/>
        <scheme val="minor"/>
      </rPr>
      <t>th</t>
    </r>
    <r>
      <rPr>
        <sz val="11"/>
        <color theme="1"/>
        <rFont val="Calibri"/>
        <family val="2"/>
        <scheme val="minor"/>
      </rPr>
      <t xml:space="preserve"> =</t>
    </r>
  </si>
  <si>
    <r>
      <t>λ</t>
    </r>
    <r>
      <rPr>
        <vertAlign val="subscript"/>
        <sz val="12.65"/>
        <color theme="1"/>
        <rFont val="Calibri"/>
        <family val="2"/>
      </rPr>
      <t>A</t>
    </r>
    <r>
      <rPr>
        <sz val="12.65"/>
        <color theme="1"/>
        <rFont val="Calibri"/>
        <family val="2"/>
      </rPr>
      <t xml:space="preserve"> =</t>
    </r>
  </si>
  <si>
    <t>Aufgabe 4b)</t>
  </si>
  <si>
    <t>Aufbabe a)</t>
  </si>
  <si>
    <r>
      <t>M</t>
    </r>
    <r>
      <rPr>
        <vertAlign val="subscript"/>
        <sz val="11"/>
        <color theme="1"/>
        <rFont val="Calibri"/>
        <family val="2"/>
        <scheme val="minor"/>
      </rPr>
      <t>Motor</t>
    </r>
    <r>
      <rPr>
        <sz val="11"/>
        <color theme="1"/>
        <rFont val="Calibri"/>
        <family val="2"/>
        <scheme val="minor"/>
      </rPr>
      <t>=</t>
    </r>
  </si>
  <si>
    <r>
      <t>b</t>
    </r>
    <r>
      <rPr>
        <vertAlign val="subscript"/>
        <sz val="11"/>
        <color theme="1"/>
        <rFont val="Calibri"/>
        <family val="2"/>
        <scheme val="minor"/>
      </rPr>
      <t>e</t>
    </r>
    <r>
      <rPr>
        <sz val="11"/>
        <color theme="1"/>
        <rFont val="Calibri"/>
        <family val="2"/>
        <scheme val="minor"/>
      </rPr>
      <t>=</t>
    </r>
  </si>
  <si>
    <r>
      <t>M</t>
    </r>
    <r>
      <rPr>
        <vertAlign val="subscript"/>
        <sz val="11"/>
        <color theme="1"/>
        <rFont val="Calibri"/>
        <family val="2"/>
        <scheme val="minor"/>
      </rPr>
      <t>motor</t>
    </r>
    <r>
      <rPr>
        <sz val="11"/>
        <color theme="1"/>
        <rFont val="Calibri"/>
        <family val="2"/>
        <scheme val="minor"/>
      </rPr>
      <t>=</t>
    </r>
  </si>
  <si>
    <t>nicht notwendig</t>
  </si>
  <si>
    <r>
      <t>Ersatz_M</t>
    </r>
    <r>
      <rPr>
        <vertAlign val="subscript"/>
        <sz val="11"/>
        <color theme="1"/>
        <rFont val="Calibri"/>
        <family val="2"/>
        <scheme val="minor"/>
      </rPr>
      <t>motor</t>
    </r>
    <r>
      <rPr>
        <sz val="11"/>
        <color theme="1"/>
        <rFont val="Calibri"/>
        <family val="2"/>
        <scheme val="minor"/>
      </rPr>
      <t>=</t>
    </r>
  </si>
  <si>
    <r>
      <t>Ersatz_P</t>
    </r>
    <r>
      <rPr>
        <vertAlign val="subscript"/>
        <sz val="11"/>
        <color theme="1"/>
        <rFont val="Calibri"/>
        <family val="2"/>
        <scheme val="minor"/>
      </rPr>
      <t>E</t>
    </r>
    <r>
      <rPr>
        <sz val="11"/>
        <color theme="1"/>
        <rFont val="Calibri"/>
        <family val="2"/>
        <scheme val="minor"/>
      </rPr>
      <t>=</t>
    </r>
  </si>
  <si>
    <t>Aufgabe 4c)</t>
  </si>
  <si>
    <r>
      <t>P</t>
    </r>
    <r>
      <rPr>
        <vertAlign val="subscript"/>
        <sz val="11"/>
        <color theme="1"/>
        <rFont val="Calibri"/>
        <family val="2"/>
        <scheme val="minor"/>
      </rPr>
      <t>VT</t>
    </r>
    <r>
      <rPr>
        <sz val="11"/>
        <color theme="1"/>
        <rFont val="Calibri"/>
        <family val="2"/>
        <scheme val="minor"/>
      </rPr>
      <t>=</t>
    </r>
  </si>
  <si>
    <t>n[rpm]</t>
  </si>
  <si>
    <t>P [kW]</t>
  </si>
  <si>
    <t>M [Nm]</t>
  </si>
  <si>
    <t>Feste Größen</t>
  </si>
  <si>
    <t>max. Steigf.</t>
  </si>
  <si>
    <t>%</t>
  </si>
  <si>
    <t>Daten zur Diagrammdarstellung</t>
  </si>
  <si>
    <t>n max</t>
  </si>
  <si>
    <t>rpm</t>
  </si>
  <si>
    <t>r dyn</t>
  </si>
  <si>
    <t>m</t>
  </si>
  <si>
    <t>i HA</t>
  </si>
  <si>
    <t>Untergrenze</t>
  </si>
  <si>
    <t>Obergrenze</t>
  </si>
  <si>
    <t>eta T</t>
  </si>
  <si>
    <t>variable Größen</t>
  </si>
  <si>
    <t>fR</t>
  </si>
  <si>
    <t>phi 2</t>
  </si>
  <si>
    <t>m F</t>
  </si>
  <si>
    <t>kg</t>
  </si>
  <si>
    <t>Zuladung</t>
  </si>
  <si>
    <t>M max</t>
  </si>
  <si>
    <t>Nm</t>
  </si>
  <si>
    <t>neu noch nicht aktualisiert</t>
  </si>
  <si>
    <t>Z</t>
  </si>
  <si>
    <t>Ergebnis</t>
  </si>
  <si>
    <t>i1</t>
  </si>
  <si>
    <t xml:space="preserve">phi 1 </t>
  </si>
  <si>
    <t>R=</t>
  </si>
  <si>
    <t>Spurweite s =</t>
  </si>
  <si>
    <t>Reifen</t>
  </si>
  <si>
    <t>μ =</t>
  </si>
  <si>
    <t>Schleudergrenze</t>
  </si>
  <si>
    <r>
      <t>R</t>
    </r>
    <r>
      <rPr>
        <vertAlign val="subscript"/>
        <sz val="11"/>
        <color theme="1"/>
        <rFont val="Calibri"/>
        <family val="2"/>
        <scheme val="minor"/>
      </rPr>
      <t>grenz_Schleuder</t>
    </r>
    <r>
      <rPr>
        <sz val="11"/>
        <color theme="1"/>
        <rFont val="Calibri"/>
        <family val="2"/>
        <scheme val="minor"/>
      </rPr>
      <t>=</t>
    </r>
  </si>
  <si>
    <t>--&gt;</t>
  </si>
  <si>
    <t>Aufgabe 5</t>
  </si>
  <si>
    <r>
      <t>P</t>
    </r>
    <r>
      <rPr>
        <vertAlign val="subscript"/>
        <sz val="11"/>
        <color theme="1"/>
        <rFont val="Calibri"/>
        <family val="2"/>
        <scheme val="minor"/>
      </rPr>
      <t>ü</t>
    </r>
    <r>
      <rPr>
        <sz val="11"/>
        <color theme="1"/>
        <rFont val="Calibri"/>
        <family val="2"/>
        <scheme val="minor"/>
      </rPr>
      <t>=</t>
    </r>
  </si>
  <si>
    <r>
      <t>J</t>
    </r>
    <r>
      <rPr>
        <vertAlign val="subscript"/>
        <sz val="12"/>
        <color theme="1"/>
        <rFont val="Calibri"/>
        <family val="2"/>
      </rPr>
      <t>k</t>
    </r>
    <r>
      <rPr>
        <sz val="12"/>
        <color theme="1"/>
        <rFont val="Calibri"/>
        <family val="2"/>
      </rPr>
      <t xml:space="preserve"> (Kupplung) =</t>
    </r>
  </si>
  <si>
    <r>
      <t>J</t>
    </r>
    <r>
      <rPr>
        <vertAlign val="subscript"/>
        <sz val="12"/>
        <color theme="1"/>
        <rFont val="Calibri"/>
        <family val="2"/>
      </rPr>
      <t>G</t>
    </r>
    <r>
      <rPr>
        <sz val="12"/>
        <color theme="1"/>
        <rFont val="Calibri"/>
        <family val="2"/>
      </rPr>
      <t xml:space="preserve"> (Getriebe) =</t>
    </r>
  </si>
  <si>
    <r>
      <t>J</t>
    </r>
    <r>
      <rPr>
        <vertAlign val="subscript"/>
        <sz val="12"/>
        <color theme="1"/>
        <rFont val="Calibri"/>
        <family val="2"/>
      </rPr>
      <t>Antr</t>
    </r>
    <r>
      <rPr>
        <sz val="12"/>
        <color theme="1"/>
        <rFont val="Calibri"/>
        <family val="2"/>
      </rPr>
      <t xml:space="preserve"> (Antriebst.) =</t>
    </r>
  </si>
  <si>
    <r>
      <t>J</t>
    </r>
    <r>
      <rPr>
        <vertAlign val="subscript"/>
        <sz val="11"/>
        <color theme="1"/>
        <rFont val="Calibri"/>
        <family val="2"/>
        <scheme val="minor"/>
      </rPr>
      <t>red</t>
    </r>
    <r>
      <rPr>
        <sz val="11"/>
        <color theme="1"/>
        <rFont val="Calibri"/>
        <family val="2"/>
        <scheme val="minor"/>
      </rPr>
      <t>=</t>
    </r>
  </si>
  <si>
    <t>ε=</t>
  </si>
  <si>
    <r>
      <t xml:space="preserve">Bei geringen Reifenschlupf </t>
    </r>
    <r>
      <rPr>
        <sz val="11"/>
        <color theme="1"/>
        <rFont val="Calibri"/>
        <family val="2"/>
      </rPr>
      <t>λ</t>
    </r>
    <r>
      <rPr>
        <sz val="11"/>
        <color theme="1"/>
        <rFont val="Calibri"/>
        <family val="2"/>
        <scheme val="minor"/>
      </rPr>
      <t xml:space="preserve"> handelt es sich größtenteils um Formänderungsschlupf. </t>
    </r>
  </si>
  <si>
    <t>Eine selbsttragende Karroserie benötigt einen Hilfsrahmen zur Aufnahme von Motor, Getriebe und der Achsen.</t>
  </si>
  <si>
    <t>Je weiter vorne der Fahrzeugschwerpunkt liegt, desto mehr tendiert das Fahrzeug zum übersteuern.</t>
  </si>
  <si>
    <t>Das Modell von Ackermann gilt besonders für Kreisfahrten mit hoher Querbeschleunigung.</t>
  </si>
  <si>
    <t>Bei einem untersteuerndem Fahrzeug muss der Fahrer den Lenkwinkel erhöhen, um auf seinem Kurvenradius zu bleiben.</t>
  </si>
  <si>
    <t>Hinweis:</t>
  </si>
  <si>
    <t>Grad</t>
  </si>
  <si>
    <t>cos</t>
  </si>
  <si>
    <t>Aufgabe 5a.)</t>
  </si>
  <si>
    <t>Ersatzwert=</t>
  </si>
  <si>
    <t>Graphik:</t>
  </si>
  <si>
    <t>Bei einem Fahrzeug mit Transaxle Antriebsstrang sind der Motor und das Getriebe besonder kompakt miteinander verbaut.</t>
  </si>
  <si>
    <r>
      <t>P</t>
    </r>
    <r>
      <rPr>
        <vertAlign val="subscript"/>
        <sz val="11"/>
        <color theme="1"/>
        <rFont val="Calibri"/>
        <family val="2"/>
        <scheme val="minor"/>
      </rPr>
      <t>B</t>
    </r>
    <r>
      <rPr>
        <sz val="11"/>
        <color theme="1"/>
        <rFont val="Calibri"/>
        <family val="2"/>
        <scheme val="minor"/>
      </rPr>
      <t>=</t>
    </r>
  </si>
  <si>
    <t>Alternative</t>
  </si>
  <si>
    <r>
      <t>P</t>
    </r>
    <r>
      <rPr>
        <vertAlign val="subscript"/>
        <sz val="11"/>
        <color theme="1"/>
        <rFont val="Calibri"/>
        <family val="2"/>
        <scheme val="minor"/>
      </rPr>
      <t>LW</t>
    </r>
    <r>
      <rPr>
        <sz val="11"/>
        <color theme="1"/>
        <rFont val="Calibri"/>
        <family val="2"/>
        <scheme val="minor"/>
      </rPr>
      <t>=</t>
    </r>
  </si>
  <si>
    <r>
      <t>P</t>
    </r>
    <r>
      <rPr>
        <vertAlign val="subscript"/>
        <sz val="11"/>
        <color theme="1"/>
        <rFont val="Calibri"/>
        <family val="2"/>
        <scheme val="minor"/>
      </rPr>
      <t>R</t>
    </r>
    <r>
      <rPr>
        <sz val="11"/>
        <color theme="1"/>
        <rFont val="Calibri"/>
        <family val="2"/>
        <scheme val="minor"/>
      </rPr>
      <t>=</t>
    </r>
  </si>
  <si>
    <r>
      <t>P</t>
    </r>
    <r>
      <rPr>
        <vertAlign val="subscript"/>
        <sz val="11"/>
        <color theme="1"/>
        <rFont val="Calibri"/>
        <family val="2"/>
        <scheme val="minor"/>
      </rPr>
      <t>St</t>
    </r>
    <r>
      <rPr>
        <sz val="11"/>
        <color theme="1"/>
        <rFont val="Calibri"/>
        <family val="2"/>
        <scheme val="minor"/>
      </rPr>
      <t>=</t>
    </r>
  </si>
  <si>
    <t>FZ=</t>
  </si>
  <si>
    <t>Fs=</t>
  </si>
  <si>
    <r>
      <t>F</t>
    </r>
    <r>
      <rPr>
        <vertAlign val="subscript"/>
        <sz val="11"/>
        <color theme="1"/>
        <rFont val="Calibri"/>
        <family val="2"/>
        <scheme val="minor"/>
      </rPr>
      <t>VT</t>
    </r>
    <r>
      <rPr>
        <sz val="11"/>
        <color theme="1"/>
        <rFont val="Calibri"/>
        <family val="2"/>
        <scheme val="minor"/>
      </rPr>
      <t>=</t>
    </r>
  </si>
  <si>
    <r>
      <t>F</t>
    </r>
    <r>
      <rPr>
        <vertAlign val="subscript"/>
        <sz val="11"/>
        <color theme="1"/>
        <rFont val="Calibri"/>
        <family val="2"/>
        <scheme val="minor"/>
      </rPr>
      <t>S</t>
    </r>
    <r>
      <rPr>
        <sz val="11"/>
        <color theme="1"/>
        <rFont val="Calibri"/>
        <family val="2"/>
        <scheme val="minor"/>
      </rPr>
      <t>=</t>
    </r>
  </si>
  <si>
    <t>Fe=</t>
  </si>
  <si>
    <t>V_F</t>
  </si>
  <si>
    <t>v_th</t>
  </si>
  <si>
    <t xml:space="preserve">Beim seriellen Hybrid dient der Verbrennungsmotor nur zur Erzeugung der Energie für den antreibenden Elektromotor. </t>
  </si>
  <si>
    <t>Wirkt eine Kraft entlang eines Weges so verrichtet sie Arbeit.</t>
  </si>
  <si>
    <t>Volllastkennlinie des Motors</t>
  </si>
  <si>
    <t>sin</t>
  </si>
  <si>
    <t>tan</t>
  </si>
  <si>
    <t>rad</t>
  </si>
  <si>
    <r>
      <t>c</t>
    </r>
    <r>
      <rPr>
        <vertAlign val="subscript"/>
        <sz val="11"/>
        <color theme="1"/>
        <rFont val="Calibri"/>
        <family val="2"/>
        <scheme val="minor"/>
      </rPr>
      <t>w</t>
    </r>
    <r>
      <rPr>
        <sz val="11"/>
        <color theme="1"/>
        <rFont val="Calibri"/>
        <family val="2"/>
        <scheme val="minor"/>
      </rPr>
      <t>=</t>
    </r>
  </si>
  <si>
    <t>m=</t>
  </si>
  <si>
    <t>Aufgabe 6</t>
  </si>
  <si>
    <r>
      <t>h</t>
    </r>
    <r>
      <rPr>
        <vertAlign val="subscript"/>
        <sz val="11"/>
        <color theme="1"/>
        <rFont val="Calibri"/>
        <family val="2"/>
        <scheme val="minor"/>
      </rPr>
      <t>s</t>
    </r>
    <r>
      <rPr>
        <sz val="11"/>
        <color theme="1"/>
        <rFont val="Calibri"/>
        <family val="2"/>
        <scheme val="minor"/>
      </rPr>
      <t>=</t>
    </r>
  </si>
  <si>
    <r>
      <t>l</t>
    </r>
    <r>
      <rPr>
        <vertAlign val="subscript"/>
        <sz val="11"/>
        <color theme="1"/>
        <rFont val="Calibri"/>
        <family val="2"/>
        <scheme val="minor"/>
      </rPr>
      <t>0</t>
    </r>
    <r>
      <rPr>
        <sz val="11"/>
        <color theme="1"/>
        <rFont val="Calibri"/>
        <family val="2"/>
        <scheme val="minor"/>
      </rPr>
      <t>=</t>
    </r>
  </si>
  <si>
    <r>
      <t>l</t>
    </r>
    <r>
      <rPr>
        <vertAlign val="subscript"/>
        <sz val="11"/>
        <color theme="1"/>
        <rFont val="Calibri"/>
        <family val="2"/>
        <scheme val="minor"/>
      </rPr>
      <t>h</t>
    </r>
    <r>
      <rPr>
        <sz val="11"/>
        <color theme="1"/>
        <rFont val="Calibri"/>
        <family val="2"/>
        <scheme val="minor"/>
      </rPr>
      <t>=</t>
    </r>
  </si>
  <si>
    <t xml:space="preserve">4 x 0,5 </t>
  </si>
  <si>
    <t xml:space="preserve">3 x 0,5 </t>
  </si>
  <si>
    <t xml:space="preserve">1 x 0,5 </t>
  </si>
  <si>
    <r>
      <t>Radstand l</t>
    </r>
    <r>
      <rPr>
        <vertAlign val="subscript"/>
        <sz val="14"/>
        <color theme="1"/>
        <rFont val="Calibri"/>
        <family val="2"/>
        <scheme val="minor"/>
      </rPr>
      <t>o</t>
    </r>
    <r>
      <rPr>
        <sz val="14"/>
        <color theme="1"/>
        <rFont val="Calibri"/>
        <family val="2"/>
        <scheme val="minor"/>
      </rPr>
      <t xml:space="preserve"> =</t>
    </r>
  </si>
  <si>
    <r>
      <t>h</t>
    </r>
    <r>
      <rPr>
        <vertAlign val="subscript"/>
        <sz val="14"/>
        <color theme="1"/>
        <rFont val="Calibri"/>
        <family val="2"/>
        <scheme val="minor"/>
      </rPr>
      <t>s</t>
    </r>
    <r>
      <rPr>
        <sz val="14"/>
        <color theme="1"/>
        <rFont val="Calibri"/>
        <family val="2"/>
        <scheme val="minor"/>
      </rPr>
      <t xml:space="preserve"> =</t>
    </r>
  </si>
  <si>
    <t>(inklusive Fahrer)</t>
  </si>
  <si>
    <r>
      <t>Ersatz v</t>
    </r>
    <r>
      <rPr>
        <vertAlign val="subscript"/>
        <sz val="11"/>
        <color theme="1"/>
        <rFont val="Calibri"/>
        <family val="2"/>
        <scheme val="minor"/>
      </rPr>
      <t>th</t>
    </r>
    <r>
      <rPr>
        <sz val="11"/>
        <color theme="1"/>
        <rFont val="Calibri"/>
        <family val="2"/>
        <scheme val="minor"/>
      </rPr>
      <t>=</t>
    </r>
  </si>
  <si>
    <t>Datenblatt eines Fahrzeuges  mit Ottomotor</t>
  </si>
  <si>
    <r>
      <t>n</t>
    </r>
    <r>
      <rPr>
        <vertAlign val="subscript"/>
        <sz val="11"/>
        <color theme="1"/>
        <rFont val="Calibri"/>
        <family val="2"/>
        <scheme val="minor"/>
      </rPr>
      <t>Mot</t>
    </r>
  </si>
  <si>
    <t xml:space="preserve">Sie fahren mit Ihrem Fahrzeug mit einer Geschwindigkeit von vF=130km/h bei 3% Steigung und einem Radschlupf von 5%. Auf dem Fahrzeugdatenblatt sind Ihnen die notwendigen Fahrzeugdaten gegeben.
a) Bestimmen Sie die Fahrwiderstandskräfte und den Zugkraftbedarf FZ.
b) Bestimmen Sie die theoretische Fahrzeuggeschwindigkeit vheoretisch (vth).
c) Bestimmen sie die für diesen Betriebspunkt notwendige Radnabenleistung PN, die effektive Motorleistung PE, die Verlustleistung im Triebstrang PVT und die Schlupfleistung PS.
</t>
  </si>
  <si>
    <t>Pe =</t>
  </si>
  <si>
    <t>M=</t>
  </si>
  <si>
    <t>n =</t>
  </si>
  <si>
    <r>
      <t>Aus Diagramm herausgelesen. M</t>
    </r>
    <r>
      <rPr>
        <vertAlign val="subscript"/>
        <sz val="11"/>
        <color theme="1"/>
        <rFont val="Calibri"/>
        <family val="2"/>
        <scheme val="minor"/>
      </rPr>
      <t>ü</t>
    </r>
    <r>
      <rPr>
        <sz val="11"/>
        <color theme="1"/>
        <rFont val="Calibri"/>
        <family val="2"/>
        <scheme val="minor"/>
      </rPr>
      <t xml:space="preserve"> = </t>
    </r>
  </si>
  <si>
    <r>
      <t>Ersatz v</t>
    </r>
    <r>
      <rPr>
        <vertAlign val="subscript"/>
        <sz val="11"/>
        <color theme="1"/>
        <rFont val="Calibri"/>
        <family val="2"/>
        <scheme val="minor"/>
      </rPr>
      <t>F</t>
    </r>
    <r>
      <rPr>
        <sz val="11"/>
        <color theme="1"/>
        <rFont val="Calibri"/>
        <family val="2"/>
        <scheme val="minor"/>
      </rPr>
      <t>=</t>
    </r>
  </si>
  <si>
    <r>
      <t>e</t>
    </r>
    <r>
      <rPr>
        <vertAlign val="subscript"/>
        <sz val="11"/>
        <color theme="1"/>
        <rFont val="Calibri"/>
        <family val="2"/>
        <scheme val="minor"/>
      </rPr>
      <t>3</t>
    </r>
    <r>
      <rPr>
        <sz val="11"/>
        <color theme="1"/>
        <rFont val="Calibri"/>
        <family val="2"/>
        <scheme val="minor"/>
      </rPr>
      <t>=</t>
    </r>
  </si>
  <si>
    <t>Summe 2</t>
  </si>
  <si>
    <r>
      <t>Sie fahren mit Ihrem Fahrzeug mit einer Geschwindigkeit von v</t>
    </r>
    <r>
      <rPr>
        <vertAlign val="subscript"/>
        <sz val="11"/>
        <color theme="1"/>
        <rFont val="Calibri"/>
        <family val="2"/>
        <scheme val="minor"/>
      </rPr>
      <t>F</t>
    </r>
    <r>
      <rPr>
        <sz val="11"/>
        <color theme="1"/>
        <rFont val="Calibri"/>
        <family val="2"/>
        <scheme val="minor"/>
      </rPr>
      <t>=130km/h bei 3% Steigung und einem Radschlupf von 5%. Auf dem Fahrzeugdatenblatt sind Ihnen die notwendigen Fahrzeugdaten gegeben.
a) Bestimmen Sie die Fahrwiderstandskräfte und den Zugkraftbedarf F</t>
    </r>
    <r>
      <rPr>
        <vertAlign val="subscript"/>
        <sz val="11"/>
        <color theme="1"/>
        <rFont val="Calibri"/>
        <family val="2"/>
        <scheme val="minor"/>
      </rPr>
      <t>Z</t>
    </r>
    <r>
      <rPr>
        <sz val="11"/>
        <color theme="1"/>
        <rFont val="Calibri"/>
        <family val="2"/>
        <scheme val="minor"/>
      </rPr>
      <t>.
b) Bestimmen Sie die theoretische Fahrzeuggeschwindigkeit v</t>
    </r>
    <r>
      <rPr>
        <vertAlign val="subscript"/>
        <sz val="11"/>
        <color theme="1"/>
        <rFont val="Calibri"/>
        <family val="2"/>
        <scheme val="minor"/>
      </rPr>
      <t>theoretisch</t>
    </r>
    <r>
      <rPr>
        <sz val="11"/>
        <color theme="1"/>
        <rFont val="Calibri"/>
        <family val="2"/>
        <scheme val="minor"/>
      </rPr>
      <t xml:space="preserve"> (v</t>
    </r>
    <r>
      <rPr>
        <vertAlign val="subscript"/>
        <sz val="11"/>
        <color theme="1"/>
        <rFont val="Calibri"/>
        <family val="2"/>
        <scheme val="minor"/>
      </rPr>
      <t>th</t>
    </r>
    <r>
      <rPr>
        <sz val="11"/>
        <color theme="1"/>
        <rFont val="Calibri"/>
        <family val="2"/>
        <scheme val="minor"/>
      </rPr>
      <t>).
c) Bestimmen sie die für diesen Betriebspunkt notwendige Radnabenleistung P</t>
    </r>
    <r>
      <rPr>
        <vertAlign val="subscript"/>
        <sz val="11"/>
        <color theme="1"/>
        <rFont val="Calibri"/>
        <family val="2"/>
        <scheme val="minor"/>
      </rPr>
      <t>N</t>
    </r>
    <r>
      <rPr>
        <sz val="11"/>
        <color theme="1"/>
        <rFont val="Calibri"/>
        <family val="2"/>
        <scheme val="minor"/>
      </rPr>
      <t>, die effektive Motorleistung P</t>
    </r>
    <r>
      <rPr>
        <vertAlign val="subscript"/>
        <sz val="11"/>
        <color theme="1"/>
        <rFont val="Calibri"/>
        <family val="2"/>
        <scheme val="minor"/>
      </rPr>
      <t>e</t>
    </r>
    <r>
      <rPr>
        <sz val="11"/>
        <color theme="1"/>
        <rFont val="Calibri"/>
        <family val="2"/>
        <scheme val="minor"/>
      </rPr>
      <t>, die Verlustleistung im Triebstrang PVT und die Schlupfleistung P</t>
    </r>
    <r>
      <rPr>
        <vertAlign val="subscript"/>
        <sz val="11"/>
        <color theme="1"/>
        <rFont val="Calibri"/>
        <family val="2"/>
        <scheme val="minor"/>
      </rPr>
      <t>S</t>
    </r>
    <r>
      <rPr>
        <sz val="11"/>
        <color theme="1"/>
        <rFont val="Calibri"/>
        <family val="2"/>
        <scheme val="minor"/>
      </rPr>
      <t>.</t>
    </r>
  </si>
  <si>
    <r>
      <t>Benutzen Sie für die folgenden Berechnungen, soweit Ihnen möglich, die ermittelten Werte aus Aufgabe 3.                                                                                                 Ersatzwerte: (Pe = 50kW, v</t>
    </r>
    <r>
      <rPr>
        <vertAlign val="subscript"/>
        <sz val="11"/>
        <color theme="1"/>
        <rFont val="Calibri"/>
        <family val="2"/>
        <scheme val="minor"/>
      </rPr>
      <t>th</t>
    </r>
    <r>
      <rPr>
        <sz val="11"/>
        <color theme="1"/>
        <rFont val="Calibri"/>
        <family val="2"/>
        <scheme val="minor"/>
      </rPr>
      <t xml:space="preserve">=145km/h, vF=137,8km/h)
a) Zeichnen Sie in das Muscheldiagramm die Linie konstanter Leistung für die benötigte effektiven Motorleistung in das Muscheldiagramm ein. Nutzen Sie hierfür die in der Tabelle gegebenen Stützstellen. b) Bestimmen Sie die Motordrehzahl für den gegebenen Betriebspunkt unter der Annahme, dass Sie im 5. Gang fahren und zeichnen diesen in das Diagramm ein (Markierung mit „A“). 
c) Bestimmen Sie den Kraftstoffverbrauch in dem gegebenen Betriebspunkt.
</t>
    </r>
  </si>
  <si>
    <r>
      <t>Sie fahren mit Ihrem Fahrzeug mit v=100km/h im 3. Gang  ohne Schlupf in der Ebene. (siehe „Betriebspunkt 100“ im Diagramm).
a) Wie groß ist die Überschussleistung in diesem Betriebspunkt? (Sie dürfen hier gerne Werte aus dem Diagramm herauslesen).
b) Bestimmen Sie den Drehmassenzuschlagsfaktor e</t>
    </r>
    <r>
      <rPr>
        <vertAlign val="subscript"/>
        <sz val="11"/>
        <color theme="1"/>
        <rFont val="Calibri"/>
        <family val="2"/>
        <scheme val="minor"/>
      </rPr>
      <t>3</t>
    </r>
    <r>
      <rPr>
        <sz val="11"/>
        <color theme="1"/>
        <rFont val="Calibri"/>
        <family val="2"/>
        <scheme val="minor"/>
      </rPr>
      <t>.
c) Bestimmen Sie die maximale Beschleunigung, die unter Vollast mit den Fahrzeugwerten im Datenblatt möglich ist. Berücksichtigen Sie auch die rotierenden Massen.</t>
    </r>
  </si>
  <si>
    <r>
      <t>Bei einem Wettbewerb sollen im Rahmen der dynamischen Disziplinen auch Kreisfahrten (in der Ebene) auf einer Kreisbahn durchgeführt werden. Im Vorfeld sollen Berechnungen durchgeführt werden, um das Potential des Fahrzeuges abzuschätzen. Auf dem Datenblatt sind Ihnen die notwendigen Fahrzeugdaten gegeben.
a) Wie groß müsste der Radius gewählt werden, damit das Fahrzeug mit 130km/h nicht aus der Kurve hinausrutscht (Schleudergrenze)?
b) Berechnen Sie den Lenkwinkel für den in Teil a) ermittelten Radius. Geben Sie das Ergebnis in grad an. (Ersatzwert: R = 150m)
c) Wie müsste das Verhältnis von l</t>
    </r>
    <r>
      <rPr>
        <vertAlign val="subscript"/>
        <sz val="11"/>
        <color theme="1"/>
        <rFont val="Calibri"/>
        <family val="2"/>
        <scheme val="minor"/>
      </rPr>
      <t>v</t>
    </r>
    <r>
      <rPr>
        <sz val="11"/>
        <color theme="1"/>
        <rFont val="Calibri"/>
        <family val="2"/>
        <scheme val="minor"/>
      </rPr>
      <t>/l</t>
    </r>
    <r>
      <rPr>
        <vertAlign val="subscript"/>
        <sz val="11"/>
        <color theme="1"/>
        <rFont val="Calibri"/>
        <family val="2"/>
        <scheme val="minor"/>
      </rPr>
      <t>h</t>
    </r>
    <r>
      <rPr>
        <sz val="11"/>
        <color theme="1"/>
        <rFont val="Calibri"/>
        <family val="2"/>
        <scheme val="minor"/>
      </rPr>
      <t xml:space="preserve"> gewählt werden, damit sich ein neutrales Fahrverhalten in diesem Betriebspunkt ergibt?
</t>
    </r>
  </si>
  <si>
    <t xml:space="preserve">Das abgebildete Motorrad fährt mit einer konstanten Geschwindigkeit von 108 km/h. Lösen Sie diese Aufgabe mit Hilfe der Statik-Ansätze ∑F=0 und ∑M=0.
a) Zeichnen Sie die für die Berechnung erforderlichen Kräfte, die Längen- und Höhenmaße in das linke Bild der Skizze ein.
b) Berechnen sie die Beschleunigung die notwendig ist, damit das Vorderrad des Motorrads von der Straße abhebt.
Das Motorrad hat folgende spezifischen Fahrzeugwerte: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</si>
</sst>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164" formatCode="0.000"/>
    <numFmt numFmtId="165" formatCode="0\ &quot;Nm&quot;"/>
    <numFmt numFmtId="166" formatCode="0\ &quot;1/min&quot;"/>
    <numFmt numFmtId="167" formatCode="0\ &quot;kW&quot;"/>
    <numFmt numFmtId="168" formatCode="0.00\ &quot;kgm^2&quot;"/>
    <numFmt numFmtId="169" formatCode="0\ &quot;kg&quot;"/>
    <numFmt numFmtId="170" formatCode="0.00\ &quot;m&quot;"/>
    <numFmt numFmtId="171" formatCode="0.00\ &quot;m^2&quot;"/>
    <numFmt numFmtId="172" formatCode="0\ &quot;km/h&quot;"/>
    <numFmt numFmtId="173" formatCode="0.0\ &quot;kg/l&quot;"/>
    <numFmt numFmtId="174" formatCode="0\ &quot;MJ/kg&quot;"/>
    <numFmt numFmtId="175" formatCode="0.000\ &quot;m&quot;"/>
    <numFmt numFmtId="176" formatCode="0.00\ &quot;m/s^2&quot;"/>
    <numFmt numFmtId="177" formatCode="0.0\ &quot;Nm&quot;"/>
    <numFmt numFmtId="178" formatCode="0\ &quot;m&quot;"/>
    <numFmt numFmtId="179" formatCode="0\ &quot;N/rad&quot;"/>
    <numFmt numFmtId="180" formatCode="0.00\ &quot;°&quot;"/>
    <numFmt numFmtId="181" formatCode="0\ &quot;Punkte&quot;"/>
    <numFmt numFmtId="182" formatCode="0.0\ &quot;Punkte&quot;"/>
    <numFmt numFmtId="183" formatCode="0.00\ &quot;kg/m^3&quot;"/>
    <numFmt numFmtId="184" formatCode="0\ &quot;N&quot;"/>
    <numFmt numFmtId="185" formatCode="0&quot;kg&quot;"/>
    <numFmt numFmtId="186" formatCode="0.00000\ &quot;m/s&quot;"/>
    <numFmt numFmtId="187" formatCode="0.00\ &quot;N&quot;"/>
    <numFmt numFmtId="188" formatCode="0.00\ &quot;km/h&quot;"/>
    <numFmt numFmtId="189" formatCode="0.00\ &quot;m/s&quot;"/>
    <numFmt numFmtId="190" formatCode="0.000\ &quot;kgm^2&quot;"/>
    <numFmt numFmtId="191" formatCode="&quot;Batterie-Entladewirkungsgrad hE = &quot;0.00"/>
    <numFmt numFmtId="192" formatCode="0.00\ &quot;[rad]&quot;"/>
    <numFmt numFmtId="193" formatCode="0.0\ &quot;N&quot;"/>
    <numFmt numFmtId="194" formatCode="0.0000"/>
    <numFmt numFmtId="195" formatCode="0.000\ &quot;rad&quot;"/>
    <numFmt numFmtId="196" formatCode="0.0\ &quot;KW&quot;"/>
    <numFmt numFmtId="197" formatCode="0.0\ &quot;km/h&quot;"/>
    <numFmt numFmtId="198" formatCode="0\ &quot;m/s&quot;"/>
    <numFmt numFmtId="199" formatCode="0.0\ &quot;kW&quot;"/>
    <numFmt numFmtId="200" formatCode="0\ &quot; g/kWh&quot;"/>
    <numFmt numFmtId="201" formatCode="0\ &quot;min&quot;"/>
    <numFmt numFmtId="202" formatCode="0.0"/>
    <numFmt numFmtId="203" formatCode="0.0000\ &quot;s^2/m [rad]&quot;"/>
    <numFmt numFmtId="204" formatCode="0.0%"/>
    <numFmt numFmtId="205" formatCode="0.00&quot;kg&quot;"/>
    <numFmt numFmtId="206" formatCode="&quot;i &quot;0"/>
    <numFmt numFmtId="207" formatCode="0.0\ &quot;1/min&quot;"/>
    <numFmt numFmtId="208" formatCode="0.000\ &quot;m/s^2&quot;"/>
    <numFmt numFmtId="209" formatCode="0.00\ &quot;kW&quot;"/>
    <numFmt numFmtId="210" formatCode="0.0\ &quot;m/s^2&quot;"/>
    <numFmt numFmtId="211" formatCode="0.00\ &quot;l/100km&quot;"/>
  </numFmts>
  <fonts count="24" x14ac:knownFonts="1">
    <font>
      <sz val="11"/>
      <color theme="1"/>
      <name val="Calibri"/>
      <family val="2"/>
      <scheme val="minor"/>
    </font>
    <font>
      <vertAlign val="subscript"/>
      <sz val="11"/>
      <color theme="1"/>
      <name val="Calibri"/>
      <family val="2"/>
      <scheme val="minor"/>
    </font>
    <font>
      <sz val="12"/>
      <color theme="0"/>
      <name val="Calibri"/>
      <family val="2"/>
      <scheme val="minor"/>
    </font>
    <font>
      <sz val="12"/>
      <color theme="1"/>
      <name val="Calibri"/>
      <family val="2"/>
      <scheme val="minor"/>
    </font>
    <font>
      <vertAlign val="subscript"/>
      <sz val="12"/>
      <color theme="1"/>
      <name val="Calibri"/>
      <family val="2"/>
      <scheme val="minor"/>
    </font>
    <font>
      <sz val="12"/>
      <name val="Calibri"/>
      <family val="2"/>
      <scheme val="minor"/>
    </font>
    <font>
      <sz val="12"/>
      <color theme="1"/>
      <name val="Calibri"/>
      <family val="2"/>
    </font>
    <font>
      <vertAlign val="subscript"/>
      <sz val="12"/>
      <color theme="1"/>
      <name val="Calibri"/>
      <family val="2"/>
    </font>
    <font>
      <sz val="18"/>
      <color theme="1"/>
      <name val="Calibri"/>
      <family val="2"/>
      <scheme val="minor"/>
    </font>
    <font>
      <sz val="9"/>
      <color theme="1"/>
      <name val="Arial"/>
      <family val="2"/>
    </font>
    <font>
      <sz val="11"/>
      <color rgb="FFFF0000"/>
      <name val="Calibri"/>
      <family val="2"/>
      <scheme val="minor"/>
    </font>
    <font>
      <sz val="11"/>
      <color theme="1"/>
      <name val="Calibri"/>
      <family val="2"/>
    </font>
    <font>
      <sz val="9"/>
      <color theme="1"/>
      <name val="Calibri"/>
      <family val="2"/>
    </font>
    <font>
      <b/>
      <sz val="11"/>
      <color theme="1"/>
      <name val="Calibri"/>
      <family val="2"/>
      <scheme val="minor"/>
    </font>
    <font>
      <sz val="11"/>
      <name val="Calibri"/>
      <family val="2"/>
      <scheme val="minor"/>
    </font>
    <font>
      <sz val="8"/>
      <name val="Calibri"/>
      <family val="2"/>
      <scheme val="minor"/>
    </font>
    <font>
      <sz val="14"/>
      <color theme="1"/>
      <name val="Calibri"/>
      <family val="2"/>
      <scheme val="minor"/>
    </font>
    <font>
      <vertAlign val="subscript"/>
      <sz val="14"/>
      <color theme="1"/>
      <name val="Calibri"/>
      <family val="2"/>
      <scheme val="minor"/>
    </font>
    <font>
      <sz val="14"/>
      <color theme="1"/>
      <name val="Calibri"/>
      <family val="1"/>
      <scheme val="minor"/>
    </font>
    <font>
      <sz val="12.65"/>
      <color theme="1"/>
      <name val="Calibri"/>
      <family val="2"/>
    </font>
    <font>
      <vertAlign val="subscript"/>
      <sz val="12.65"/>
      <color theme="1"/>
      <name val="Calibri"/>
      <family val="2"/>
    </font>
    <font>
      <sz val="10"/>
      <color theme="1"/>
      <name val="Calibri"/>
      <family val="2"/>
      <scheme val="minor"/>
    </font>
    <font>
      <i/>
      <sz val="9"/>
      <color theme="1"/>
      <name val="Cambria Math"/>
      <family val="1"/>
    </font>
    <font>
      <sz val="16"/>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249977111117893"/>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rgb="FFFFFF00"/>
      </left>
      <right/>
      <top style="thick">
        <color rgb="FFFFFF00"/>
      </top>
      <bottom style="thick">
        <color rgb="FFFFFF00"/>
      </bottom>
      <diagonal/>
    </border>
    <border>
      <left/>
      <right style="thick">
        <color rgb="FFFFFF00"/>
      </right>
      <top style="thick">
        <color rgb="FFFFFF00"/>
      </top>
      <bottom style="thick">
        <color rgb="FFFFFF00"/>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50">
    <xf numFmtId="0" fontId="0" fillId="0" borderId="0" xfId="0"/>
    <xf numFmtId="0" fontId="0" fillId="4" borderId="0" xfId="0" applyFill="1"/>
    <xf numFmtId="0" fontId="0" fillId="4" borderId="0" xfId="0" applyFill="1" applyAlignment="1">
      <alignment horizontal="right"/>
    </xf>
    <xf numFmtId="0" fontId="3" fillId="4" borderId="4" xfId="0" applyFont="1" applyFill="1" applyBorder="1" applyAlignment="1">
      <alignment horizontal="right"/>
    </xf>
    <xf numFmtId="171" fontId="3" fillId="4" borderId="5" xfId="0" applyNumberFormat="1" applyFont="1" applyFill="1" applyBorder="1" applyAlignment="1">
      <alignment horizontal="left"/>
    </xf>
    <xf numFmtId="167" fontId="3" fillId="4" borderId="5" xfId="0" applyNumberFormat="1" applyFont="1" applyFill="1" applyBorder="1" applyAlignment="1">
      <alignment horizontal="left"/>
    </xf>
    <xf numFmtId="165" fontId="3" fillId="4" borderId="5" xfId="0" applyNumberFormat="1" applyFont="1" applyFill="1" applyBorder="1" applyAlignment="1">
      <alignment horizontal="left"/>
    </xf>
    <xf numFmtId="170" fontId="3" fillId="4" borderId="5" xfId="0" applyNumberFormat="1" applyFont="1" applyFill="1" applyBorder="1" applyAlignment="1">
      <alignment horizontal="left"/>
    </xf>
    <xf numFmtId="166" fontId="3" fillId="4" borderId="5" xfId="0" applyNumberFormat="1" applyFont="1" applyFill="1" applyBorder="1" applyAlignment="1">
      <alignment horizontal="left"/>
    </xf>
    <xf numFmtId="0" fontId="3" fillId="4" borderId="5" xfId="0" applyFont="1" applyFill="1" applyBorder="1" applyAlignment="1">
      <alignment horizontal="left"/>
    </xf>
    <xf numFmtId="0" fontId="3" fillId="4" borderId="6" xfId="0" applyFont="1" applyFill="1" applyBorder="1" applyAlignment="1">
      <alignment horizontal="right"/>
    </xf>
    <xf numFmtId="168" fontId="3" fillId="4" borderId="8" xfId="0" applyNumberFormat="1" applyFont="1" applyFill="1" applyBorder="1"/>
    <xf numFmtId="167" fontId="3" fillId="4" borderId="5" xfId="0" applyNumberFormat="1" applyFont="1" applyFill="1" applyBorder="1" applyAlignment="1">
      <alignment horizontal="center"/>
    </xf>
    <xf numFmtId="2" fontId="3" fillId="4" borderId="5" xfId="0" applyNumberFormat="1" applyFont="1" applyFill="1" applyBorder="1" applyAlignment="1">
      <alignment horizontal="left"/>
    </xf>
    <xf numFmtId="0" fontId="6" fillId="4" borderId="4" xfId="0" applyFont="1" applyFill="1" applyBorder="1" applyAlignment="1">
      <alignment horizontal="right"/>
    </xf>
    <xf numFmtId="166" fontId="3" fillId="4" borderId="7" xfId="0" applyNumberFormat="1" applyFont="1" applyFill="1" applyBorder="1" applyAlignment="1">
      <alignment horizontal="left"/>
    </xf>
    <xf numFmtId="165" fontId="3" fillId="4" borderId="7" xfId="0" applyNumberFormat="1" applyFont="1" applyFill="1" applyBorder="1" applyAlignment="1">
      <alignment horizontal="center"/>
    </xf>
    <xf numFmtId="167" fontId="3" fillId="4" borderId="8" xfId="0" applyNumberFormat="1" applyFont="1" applyFill="1" applyBorder="1" applyAlignment="1">
      <alignment horizontal="center"/>
    </xf>
    <xf numFmtId="0" fontId="3" fillId="4" borderId="0" xfId="0" applyFont="1" applyFill="1" applyAlignment="1">
      <alignment horizontal="right"/>
    </xf>
    <xf numFmtId="0" fontId="3" fillId="4" borderId="8" xfId="0" applyFont="1" applyFill="1" applyBorder="1"/>
    <xf numFmtId="174" fontId="3" fillId="4" borderId="7" xfId="0" applyNumberFormat="1" applyFont="1" applyFill="1" applyBorder="1" applyAlignment="1">
      <alignment horizontal="left"/>
    </xf>
    <xf numFmtId="0" fontId="3" fillId="4" borderId="7" xfId="0" applyFont="1" applyFill="1" applyBorder="1"/>
    <xf numFmtId="170" fontId="3" fillId="4" borderId="0" xfId="0" applyNumberFormat="1" applyFont="1" applyFill="1" applyAlignment="1">
      <alignment horizontal="left"/>
    </xf>
    <xf numFmtId="175" fontId="3" fillId="4" borderId="0" xfId="0" applyNumberFormat="1" applyFont="1" applyFill="1" applyAlignment="1">
      <alignment horizontal="left"/>
    </xf>
    <xf numFmtId="169" fontId="3" fillId="4" borderId="0" xfId="0" applyNumberFormat="1" applyFont="1" applyFill="1" applyAlignment="1">
      <alignment horizontal="left"/>
    </xf>
    <xf numFmtId="176" fontId="0" fillId="4" borderId="0" xfId="0" applyNumberFormat="1" applyFill="1" applyAlignment="1">
      <alignment horizontal="left"/>
    </xf>
    <xf numFmtId="167" fontId="3" fillId="4" borderId="0" xfId="0" applyNumberFormat="1" applyFont="1" applyFill="1" applyAlignment="1">
      <alignment horizontal="center"/>
    </xf>
    <xf numFmtId="166" fontId="3" fillId="4" borderId="0" xfId="0" applyNumberFormat="1" applyFont="1" applyFill="1" applyAlignment="1">
      <alignment horizontal="right"/>
    </xf>
    <xf numFmtId="177" fontId="0" fillId="4" borderId="0" xfId="0" applyNumberFormat="1" applyFill="1"/>
    <xf numFmtId="0" fontId="0" fillId="0" borderId="0" xfId="0" applyAlignment="1">
      <alignment horizontal="right"/>
    </xf>
    <xf numFmtId="0" fontId="0" fillId="5" borderId="0" xfId="0" applyFill="1"/>
    <xf numFmtId="181" fontId="0" fillId="5" borderId="0" xfId="0" applyNumberFormat="1" applyFill="1"/>
    <xf numFmtId="0" fontId="0" fillId="0" borderId="3" xfId="0" applyBorder="1"/>
    <xf numFmtId="0" fontId="0" fillId="0" borderId="5" xfId="0" applyBorder="1"/>
    <xf numFmtId="0" fontId="0" fillId="0" borderId="8" xfId="0" applyBorder="1"/>
    <xf numFmtId="0" fontId="0" fillId="0" borderId="1" xfId="0" applyBorder="1"/>
    <xf numFmtId="0" fontId="0" fillId="0" borderId="2" xfId="0" applyBorder="1"/>
    <xf numFmtId="0" fontId="0" fillId="0" borderId="6" xfId="0" applyBorder="1"/>
    <xf numFmtId="0" fontId="0" fillId="0" borderId="7" xfId="0" applyBorder="1"/>
    <xf numFmtId="0" fontId="0" fillId="0" borderId="0" xfId="0" applyAlignment="1">
      <alignment horizontal="right" vertical="top" wrapText="1"/>
    </xf>
    <xf numFmtId="0" fontId="0" fillId="0" borderId="5" xfId="0" applyBorder="1" applyAlignment="1">
      <alignment vertical="top" wrapText="1"/>
    </xf>
    <xf numFmtId="181" fontId="0" fillId="5" borderId="5" xfId="0" applyNumberFormat="1" applyFill="1" applyBorder="1"/>
    <xf numFmtId="178" fontId="0" fillId="0" borderId="0" xfId="0" applyNumberFormat="1" applyAlignment="1">
      <alignment horizontal="left"/>
    </xf>
    <xf numFmtId="0" fontId="0" fillId="0" borderId="0" xfId="0" applyAlignment="1">
      <alignment horizontal="right" vertical="center"/>
    </xf>
    <xf numFmtId="181" fontId="0" fillId="0" borderId="5" xfId="0" applyNumberFormat="1" applyBorder="1"/>
    <xf numFmtId="0" fontId="0" fillId="4" borderId="5" xfId="0" applyFill="1" applyBorder="1"/>
    <xf numFmtId="2" fontId="3" fillId="4" borderId="3" xfId="0" applyNumberFormat="1" applyFont="1" applyFill="1" applyBorder="1" applyAlignment="1">
      <alignment horizontal="left"/>
    </xf>
    <xf numFmtId="0" fontId="6" fillId="4" borderId="1" xfId="0" applyFont="1" applyFill="1" applyBorder="1" applyAlignment="1">
      <alignment horizontal="right"/>
    </xf>
    <xf numFmtId="0" fontId="0" fillId="4" borderId="4" xfId="0" applyFill="1" applyBorder="1"/>
    <xf numFmtId="0" fontId="0" fillId="0" borderId="0" xfId="0" applyAlignment="1">
      <alignment vertical="top" wrapText="1"/>
    </xf>
    <xf numFmtId="175" fontId="3" fillId="4" borderId="5" xfId="0" applyNumberFormat="1" applyFont="1" applyFill="1" applyBorder="1" applyAlignment="1">
      <alignment horizontal="left"/>
    </xf>
    <xf numFmtId="181" fontId="0" fillId="0" borderId="0" xfId="0" applyNumberFormat="1"/>
    <xf numFmtId="0" fontId="0" fillId="0" borderId="4" xfId="0" applyBorder="1"/>
    <xf numFmtId="0" fontId="0" fillId="0" borderId="0" xfId="0" applyAlignment="1">
      <alignment horizontal="center"/>
    </xf>
    <xf numFmtId="186" fontId="0" fillId="4" borderId="0" xfId="0" applyNumberFormat="1" applyFill="1"/>
    <xf numFmtId="2" fontId="0" fillId="0" borderId="0" xfId="0" applyNumberFormat="1"/>
    <xf numFmtId="0" fontId="0" fillId="0" borderId="2" xfId="0" applyBorder="1" applyAlignment="1">
      <alignment horizontal="right"/>
    </xf>
    <xf numFmtId="170" fontId="0" fillId="0" borderId="0" xfId="0" applyNumberFormat="1" applyAlignment="1">
      <alignment horizontal="left" vertical="top" wrapText="1"/>
    </xf>
    <xf numFmtId="172" fontId="0" fillId="0" borderId="0" xfId="0" applyNumberFormat="1" applyAlignment="1">
      <alignment horizontal="left" vertical="center"/>
    </xf>
    <xf numFmtId="169" fontId="0" fillId="0" borderId="0" xfId="0" applyNumberFormat="1" applyAlignment="1">
      <alignment horizontal="left" vertical="center"/>
    </xf>
    <xf numFmtId="182" fontId="0" fillId="0" borderId="0" xfId="0" applyNumberFormat="1"/>
    <xf numFmtId="2" fontId="0" fillId="0" borderId="0" xfId="0" applyNumberFormat="1" applyAlignment="1">
      <alignment horizontal="center" vertical="top"/>
    </xf>
    <xf numFmtId="0" fontId="0" fillId="0" borderId="0" xfId="0" applyAlignment="1">
      <alignment horizontal="left"/>
    </xf>
    <xf numFmtId="182" fontId="0" fillId="0" borderId="5" xfId="0" applyNumberFormat="1" applyBorder="1" applyAlignment="1">
      <alignment horizontal="center" vertical="top"/>
    </xf>
    <xf numFmtId="0" fontId="0" fillId="0" borderId="0" xfId="0" applyAlignment="1">
      <alignment horizontal="right" vertical="top"/>
    </xf>
    <xf numFmtId="190" fontId="3" fillId="4" borderId="8" xfId="0" applyNumberFormat="1" applyFont="1" applyFill="1" applyBorder="1"/>
    <xf numFmtId="0" fontId="0" fillId="0" borderId="0" xfId="0" applyAlignment="1">
      <alignment vertical="top"/>
    </xf>
    <xf numFmtId="187" fontId="0" fillId="0" borderId="0" xfId="0" applyNumberFormat="1" applyAlignment="1">
      <alignment horizontal="left" vertical="top"/>
    </xf>
    <xf numFmtId="172" fontId="0" fillId="0" borderId="2" xfId="0" applyNumberFormat="1" applyBorder="1" applyAlignment="1">
      <alignment horizontal="left"/>
    </xf>
    <xf numFmtId="187" fontId="0" fillId="0" borderId="0" xfId="0" applyNumberFormat="1" applyAlignment="1">
      <alignment horizontal="left"/>
    </xf>
    <xf numFmtId="0" fontId="5" fillId="0" borderId="2" xfId="0" applyFont="1" applyBorder="1"/>
    <xf numFmtId="0" fontId="2" fillId="3" borderId="10" xfId="0" applyFont="1" applyFill="1" applyBorder="1" applyAlignment="1">
      <alignment horizontal="center"/>
    </xf>
    <xf numFmtId="192" fontId="0" fillId="0" borderId="5" xfId="0" applyNumberFormat="1" applyBorder="1" applyAlignment="1">
      <alignment horizontal="left" vertical="top" wrapText="1"/>
    </xf>
    <xf numFmtId="0" fontId="2" fillId="3" borderId="1" xfId="0" applyFont="1" applyFill="1" applyBorder="1"/>
    <xf numFmtId="0" fontId="2" fillId="3" borderId="2" xfId="0" applyFont="1" applyFill="1" applyBorder="1"/>
    <xf numFmtId="0" fontId="2" fillId="3" borderId="3" xfId="0" applyFont="1" applyFill="1" applyBorder="1"/>
    <xf numFmtId="0" fontId="0" fillId="4" borderId="6" xfId="0" applyFill="1" applyBorder="1"/>
    <xf numFmtId="0" fontId="0" fillId="4" borderId="8" xfId="0" applyFill="1" applyBorder="1"/>
    <xf numFmtId="0" fontId="2" fillId="3" borderId="10" xfId="0" applyFont="1" applyFill="1" applyBorder="1"/>
    <xf numFmtId="0" fontId="2" fillId="3" borderId="5" xfId="0" applyFont="1" applyFill="1" applyBorder="1"/>
    <xf numFmtId="0" fontId="0" fillId="0" borderId="2" xfId="0" applyBorder="1" applyAlignment="1">
      <alignment horizontal="right" vertical="top" wrapText="1"/>
    </xf>
    <xf numFmtId="0" fontId="0" fillId="0" borderId="4" xfId="0" applyBorder="1" applyAlignment="1">
      <alignment vertical="top" wrapText="1"/>
    </xf>
    <xf numFmtId="0" fontId="0" fillId="4" borderId="0" xfId="0" applyFill="1" applyAlignment="1">
      <alignment vertical="top"/>
    </xf>
    <xf numFmtId="0" fontId="3" fillId="4" borderId="1" xfId="0" applyFont="1" applyFill="1" applyBorder="1" applyAlignment="1">
      <alignment horizontal="right"/>
    </xf>
    <xf numFmtId="185" fontId="3" fillId="4" borderId="3" xfId="0" applyNumberFormat="1" applyFont="1" applyFill="1" applyBorder="1" applyAlignment="1">
      <alignment horizontal="left"/>
    </xf>
    <xf numFmtId="170" fontId="3" fillId="4" borderId="3" xfId="0" applyNumberFormat="1" applyFont="1" applyFill="1" applyBorder="1" applyAlignment="1">
      <alignment horizontal="left"/>
    </xf>
    <xf numFmtId="0" fontId="0" fillId="4" borderId="7" xfId="0" applyFill="1" applyBorder="1"/>
    <xf numFmtId="0" fontId="0" fillId="0" borderId="7" xfId="0" applyBorder="1" applyAlignment="1">
      <alignment horizontal="right" vertical="top"/>
    </xf>
    <xf numFmtId="181" fontId="0" fillId="5" borderId="8" xfId="0" applyNumberFormat="1" applyFill="1" applyBorder="1"/>
    <xf numFmtId="0" fontId="2" fillId="3" borderId="12" xfId="0" applyFont="1" applyFill="1" applyBorder="1"/>
    <xf numFmtId="183" fontId="3" fillId="4" borderId="2" xfId="0" applyNumberFormat="1" applyFont="1" applyFill="1" applyBorder="1" applyAlignment="1">
      <alignment horizontal="left"/>
    </xf>
    <xf numFmtId="0" fontId="3" fillId="4" borderId="2" xfId="0" applyFont="1" applyFill="1" applyBorder="1" applyAlignment="1">
      <alignment horizontal="right"/>
    </xf>
    <xf numFmtId="173" fontId="3" fillId="4" borderId="3" xfId="0" applyNumberFormat="1" applyFont="1" applyFill="1" applyBorder="1" applyAlignment="1">
      <alignment horizontal="left"/>
    </xf>
    <xf numFmtId="0" fontId="6" fillId="4" borderId="2" xfId="0" applyFont="1" applyFill="1" applyBorder="1" applyAlignment="1">
      <alignment horizontal="right"/>
    </xf>
    <xf numFmtId="0" fontId="0" fillId="4" borderId="1" xfId="0" applyFill="1" applyBorder="1"/>
    <xf numFmtId="0" fontId="5" fillId="4" borderId="2" xfId="0" applyFont="1" applyFill="1" applyBorder="1"/>
    <xf numFmtId="0" fontId="5" fillId="4" borderId="3" xfId="0" applyFont="1" applyFill="1" applyBorder="1"/>
    <xf numFmtId="0" fontId="2" fillId="3" borderId="13" xfId="0" applyFont="1" applyFill="1" applyBorder="1"/>
    <xf numFmtId="0" fontId="2" fillId="3" borderId="7" xfId="0" applyFont="1" applyFill="1" applyBorder="1"/>
    <xf numFmtId="0" fontId="2" fillId="4" borderId="7" xfId="0" applyFont="1" applyFill="1" applyBorder="1"/>
    <xf numFmtId="182" fontId="0" fillId="5" borderId="5" xfId="0" applyNumberFormat="1" applyFill="1" applyBorder="1"/>
    <xf numFmtId="176" fontId="10" fillId="0" borderId="0" xfId="0" quotePrefix="1" applyNumberFormat="1" applyFont="1" applyAlignment="1">
      <alignment horizontal="left"/>
    </xf>
    <xf numFmtId="196" fontId="0" fillId="0" borderId="0" xfId="0" applyNumberFormat="1"/>
    <xf numFmtId="196" fontId="0" fillId="0" borderId="0" xfId="0" applyNumberFormat="1" applyAlignment="1">
      <alignment horizontal="center" vertical="center"/>
    </xf>
    <xf numFmtId="197" fontId="0" fillId="0" borderId="0" xfId="0" applyNumberFormat="1" applyAlignment="1">
      <alignment horizontal="center"/>
    </xf>
    <xf numFmtId="198" fontId="0" fillId="0" borderId="0" xfId="0" applyNumberFormat="1" applyAlignment="1">
      <alignment horizontal="center" vertical="center"/>
    </xf>
    <xf numFmtId="193" fontId="0" fillId="0" borderId="0" xfId="0" applyNumberFormat="1" applyAlignment="1">
      <alignment horizontal="center" vertical="center"/>
    </xf>
    <xf numFmtId="187" fontId="0" fillId="0" borderId="0" xfId="0" applyNumberFormat="1" applyAlignment="1">
      <alignment horizontal="center" vertical="center"/>
    </xf>
    <xf numFmtId="188" fontId="0" fillId="4" borderId="0" xfId="0" applyNumberFormat="1" applyFill="1"/>
    <xf numFmtId="0" fontId="0" fillId="0" borderId="0" xfId="0"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xf>
    <xf numFmtId="0" fontId="3" fillId="4" borderId="8" xfId="0" quotePrefix="1" applyFont="1" applyFill="1" applyBorder="1" applyAlignment="1">
      <alignment horizontal="left"/>
    </xf>
    <xf numFmtId="0" fontId="2" fillId="3" borderId="11" xfId="0" applyFont="1" applyFill="1" applyBorder="1" applyAlignment="1">
      <alignment horizontal="left"/>
    </xf>
    <xf numFmtId="189" fontId="0" fillId="0" borderId="2" xfId="0" applyNumberFormat="1" applyBorder="1"/>
    <xf numFmtId="187" fontId="0" fillId="0" borderId="6" xfId="0" applyNumberFormat="1" applyBorder="1" applyAlignment="1">
      <alignment horizontal="center" vertical="center"/>
    </xf>
    <xf numFmtId="187" fontId="0" fillId="0" borderId="7" xfId="0" applyNumberFormat="1" applyBorder="1" applyAlignment="1">
      <alignment horizontal="center" vertical="center"/>
    </xf>
    <xf numFmtId="187" fontId="0" fillId="0" borderId="8" xfId="0" applyNumberFormat="1" applyBorder="1" applyAlignment="1">
      <alignment horizontal="center" vertical="center"/>
    </xf>
    <xf numFmtId="199" fontId="3" fillId="4" borderId="9" xfId="0" applyNumberFormat="1" applyFont="1" applyFill="1" applyBorder="1" applyAlignment="1">
      <alignment horizontal="center"/>
    </xf>
    <xf numFmtId="166" fontId="3" fillId="4" borderId="9" xfId="0" applyNumberFormat="1" applyFont="1" applyFill="1" applyBorder="1" applyAlignment="1">
      <alignment horizontal="right"/>
    </xf>
    <xf numFmtId="182" fontId="0" fillId="5" borderId="0" xfId="0" applyNumberFormat="1" applyFill="1" applyAlignment="1">
      <alignment horizontal="center"/>
    </xf>
    <xf numFmtId="0" fontId="0" fillId="0" borderId="2" xfId="0" applyBorder="1" applyAlignment="1">
      <alignment horizontal="left" vertical="top" wrapText="1"/>
    </xf>
    <xf numFmtId="2" fontId="3" fillId="0" borderId="3" xfId="0" applyNumberFormat="1" applyFont="1" applyBorder="1" applyAlignment="1">
      <alignment horizontal="left"/>
    </xf>
    <xf numFmtId="0" fontId="0" fillId="6" borderId="0" xfId="0" applyFill="1" applyAlignment="1">
      <alignment horizontal="right" vertical="top" wrapText="1"/>
    </xf>
    <xf numFmtId="2" fontId="0" fillId="6" borderId="0" xfId="0" applyNumberFormat="1" applyFill="1" applyAlignment="1">
      <alignment horizontal="left" vertical="top" wrapText="1"/>
    </xf>
    <xf numFmtId="0" fontId="0" fillId="6" borderId="0" xfId="0" quotePrefix="1" applyFill="1" applyAlignment="1">
      <alignment horizontal="right"/>
    </xf>
    <xf numFmtId="164" fontId="0" fillId="6" borderId="0" xfId="0" applyNumberFormat="1" applyFill="1" applyAlignment="1">
      <alignment horizontal="left"/>
    </xf>
    <xf numFmtId="0" fontId="0" fillId="6" borderId="0" xfId="0" applyFill="1" applyAlignment="1">
      <alignment horizontal="right"/>
    </xf>
    <xf numFmtId="164" fontId="0" fillId="0" borderId="0" xfId="0" applyNumberFormat="1" applyAlignment="1">
      <alignment horizontal="left"/>
    </xf>
    <xf numFmtId="168" fontId="3" fillId="4" borderId="5" xfId="0" applyNumberFormat="1" applyFont="1" applyFill="1" applyBorder="1" applyAlignment="1">
      <alignment horizontal="left"/>
    </xf>
    <xf numFmtId="182" fontId="0" fillId="5" borderId="5" xfId="0" applyNumberFormat="1" applyFill="1" applyBorder="1" applyAlignment="1">
      <alignment horizontal="center" vertical="center"/>
    </xf>
    <xf numFmtId="0" fontId="0" fillId="0" borderId="0" xfId="0" applyAlignment="1">
      <alignment horizontal="center" vertical="top" wrapText="1"/>
    </xf>
    <xf numFmtId="0" fontId="0" fillId="0" borderId="7" xfId="0" applyBorder="1" applyAlignment="1">
      <alignment horizontal="lef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7" xfId="0" applyBorder="1" applyAlignment="1">
      <alignment horizontal="right"/>
    </xf>
    <xf numFmtId="177" fontId="0" fillId="6" borderId="9" xfId="0" applyNumberFormat="1" applyFill="1" applyBorder="1"/>
    <xf numFmtId="177" fontId="0" fillId="2" borderId="9" xfId="0" applyNumberFormat="1" applyFill="1" applyBorder="1"/>
    <xf numFmtId="0" fontId="0" fillId="5" borderId="7" xfId="0" applyFill="1" applyBorder="1"/>
    <xf numFmtId="201" fontId="0" fillId="0" borderId="0" xfId="0" applyNumberFormat="1"/>
    <xf numFmtId="0" fontId="3" fillId="4" borderId="5" xfId="0" quotePrefix="1" applyFont="1" applyFill="1" applyBorder="1" applyAlignment="1">
      <alignment horizontal="left"/>
    </xf>
    <xf numFmtId="0" fontId="3" fillId="4" borderId="1" xfId="0" applyFont="1" applyFill="1" applyBorder="1"/>
    <xf numFmtId="0" fontId="3" fillId="4" borderId="4" xfId="0" applyFont="1" applyFill="1" applyBorder="1"/>
    <xf numFmtId="0" fontId="3" fillId="4" borderId="3" xfId="0" quotePrefix="1" applyFont="1" applyFill="1" applyBorder="1" applyAlignment="1">
      <alignment horizontal="left"/>
    </xf>
    <xf numFmtId="191" fontId="9" fillId="4" borderId="7" xfId="0" applyNumberFormat="1" applyFont="1" applyFill="1" applyBorder="1" applyAlignment="1">
      <alignment vertical="center"/>
    </xf>
    <xf numFmtId="0" fontId="6" fillId="4" borderId="7" xfId="0" applyFont="1" applyFill="1" applyBorder="1" applyAlignment="1">
      <alignment horizontal="right"/>
    </xf>
    <xf numFmtId="2" fontId="3" fillId="4" borderId="8" xfId="0" applyNumberFormat="1" applyFont="1" applyFill="1" applyBorder="1" applyAlignment="1">
      <alignment horizontal="left"/>
    </xf>
    <xf numFmtId="2" fontId="16" fillId="4" borderId="5" xfId="0" applyNumberFormat="1" applyFont="1" applyFill="1" applyBorder="1" applyAlignment="1">
      <alignment horizontal="left"/>
    </xf>
    <xf numFmtId="0" fontId="16" fillId="4" borderId="4" xfId="0" applyFont="1" applyFill="1" applyBorder="1" applyAlignment="1">
      <alignment horizontal="right"/>
    </xf>
    <xf numFmtId="0" fontId="16" fillId="4" borderId="1" xfId="0" applyFont="1" applyFill="1" applyBorder="1" applyAlignment="1">
      <alignment horizontal="right"/>
    </xf>
    <xf numFmtId="0" fontId="16" fillId="0" borderId="1" xfId="0" applyFont="1" applyBorder="1" applyAlignment="1">
      <alignment horizontal="right"/>
    </xf>
    <xf numFmtId="0" fontId="0" fillId="0" borderId="5" xfId="0" applyBorder="1" applyAlignment="1">
      <alignment horizontal="left"/>
    </xf>
    <xf numFmtId="172" fontId="0" fillId="0" borderId="0" xfId="0" applyNumberFormat="1" applyAlignment="1">
      <alignment horizontal="left" vertical="top"/>
    </xf>
    <xf numFmtId="170" fontId="0" fillId="0" borderId="0" xfId="0" applyNumberFormat="1" applyAlignment="1">
      <alignment horizontal="left"/>
    </xf>
    <xf numFmtId="0" fontId="0" fillId="0" borderId="1" xfId="0" applyBorder="1" applyAlignment="1">
      <alignment horizontal="left" vertical="top"/>
    </xf>
    <xf numFmtId="172" fontId="0" fillId="0" borderId="2" xfId="0" applyNumberFormat="1" applyBorder="1" applyAlignment="1">
      <alignment horizontal="left" vertical="top"/>
    </xf>
    <xf numFmtId="184" fontId="0" fillId="0" borderId="0" xfId="0" applyNumberFormat="1" applyAlignment="1">
      <alignment horizontal="right" vertical="top"/>
    </xf>
    <xf numFmtId="184" fontId="0" fillId="0" borderId="0" xfId="0" applyNumberFormat="1" applyAlignment="1">
      <alignment horizontal="right"/>
    </xf>
    <xf numFmtId="0" fontId="11" fillId="2" borderId="0" xfId="0" applyFont="1" applyFill="1" applyAlignment="1">
      <alignment horizontal="right"/>
    </xf>
    <xf numFmtId="180" fontId="0" fillId="0" borderId="7" xfId="0" quotePrefix="1" applyNumberFormat="1" applyBorder="1" applyAlignment="1">
      <alignment horizontal="left"/>
    </xf>
    <xf numFmtId="184" fontId="0" fillId="0" borderId="0" xfId="0" applyNumberFormat="1" applyAlignment="1">
      <alignment horizontal="left" vertical="top"/>
    </xf>
    <xf numFmtId="176" fontId="0" fillId="0" borderId="7" xfId="0" applyNumberFormat="1" applyBorder="1" applyAlignment="1">
      <alignment horizontal="left"/>
    </xf>
    <xf numFmtId="188" fontId="0" fillId="0" borderId="0" xfId="0" applyNumberFormat="1" applyAlignment="1">
      <alignment horizontal="center" vertical="top"/>
    </xf>
    <xf numFmtId="164" fontId="0" fillId="0" borderId="0" xfId="0" applyNumberFormat="1" applyAlignment="1">
      <alignment horizontal="center" vertical="center"/>
    </xf>
    <xf numFmtId="0" fontId="0" fillId="0" borderId="0" xfId="0" applyAlignment="1">
      <alignment horizontal="center" vertical="center"/>
    </xf>
    <xf numFmtId="194" fontId="0" fillId="0" borderId="0" xfId="0" applyNumberFormat="1" applyAlignment="1">
      <alignment horizontal="center" vertical="center"/>
    </xf>
    <xf numFmtId="0" fontId="11" fillId="6" borderId="0" xfId="0" applyFont="1" applyFill="1" applyAlignment="1">
      <alignment horizontal="right"/>
    </xf>
    <xf numFmtId="180" fontId="14" fillId="0" borderId="0" xfId="0" quotePrefix="1" applyNumberFormat="1" applyFont="1" applyAlignment="1">
      <alignment horizontal="center" vertical="center"/>
    </xf>
    <xf numFmtId="180" fontId="14" fillId="0" borderId="7" xfId="0" quotePrefix="1" applyNumberFormat="1" applyFont="1" applyBorder="1" applyAlignment="1">
      <alignment horizontal="center" vertical="center"/>
    </xf>
    <xf numFmtId="0" fontId="0" fillId="0" borderId="7" xfId="0" applyBorder="1" applyAlignment="1">
      <alignment horizontal="center" vertical="center"/>
    </xf>
    <xf numFmtId="0" fontId="11" fillId="0" borderId="7" xfId="0" applyFont="1" applyBorder="1" applyAlignment="1">
      <alignment horizontal="right"/>
    </xf>
    <xf numFmtId="182" fontId="0" fillId="0" borderId="8" xfId="0" applyNumberFormat="1" applyBorder="1"/>
    <xf numFmtId="0" fontId="0" fillId="0" borderId="2" xfId="0" applyBorder="1" applyAlignment="1">
      <alignment horizontal="left"/>
    </xf>
    <xf numFmtId="0" fontId="0" fillId="2" borderId="0" xfId="0" applyFill="1"/>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178" fontId="0" fillId="0" borderId="0" xfId="0" applyNumberFormat="1" applyAlignment="1">
      <alignment horizontal="right"/>
    </xf>
    <xf numFmtId="9" fontId="0" fillId="0" borderId="0" xfId="0" applyNumberFormat="1" applyAlignment="1">
      <alignment horizontal="left"/>
    </xf>
    <xf numFmtId="178" fontId="0" fillId="2" borderId="0" xfId="0" applyNumberFormat="1" applyFill="1" applyAlignment="1">
      <alignment horizontal="right"/>
    </xf>
    <xf numFmtId="193" fontId="0" fillId="2" borderId="0" xfId="0" applyNumberFormat="1" applyFill="1" applyAlignment="1">
      <alignment horizontal="left"/>
    </xf>
    <xf numFmtId="0" fontId="11" fillId="0" borderId="2" xfId="0" applyFont="1" applyBorder="1" applyAlignment="1">
      <alignment horizontal="right"/>
    </xf>
    <xf numFmtId="204" fontId="0" fillId="0" borderId="2" xfId="0" applyNumberFormat="1" applyBorder="1"/>
    <xf numFmtId="197" fontId="0" fillId="2" borderId="0" xfId="0" applyNumberFormat="1" applyFill="1" applyAlignment="1">
      <alignment horizontal="left"/>
    </xf>
    <xf numFmtId="199" fontId="0" fillId="2" borderId="0" xfId="0" applyNumberFormat="1" applyFill="1" applyAlignment="1">
      <alignment horizontal="left"/>
    </xf>
    <xf numFmtId="0" fontId="0" fillId="0" borderId="0" xfId="0" applyAlignment="1">
      <alignment horizontal="center" vertical="top"/>
    </xf>
    <xf numFmtId="0" fontId="16" fillId="0" borderId="4" xfId="0" applyFont="1" applyBorder="1" applyAlignment="1">
      <alignment horizontal="right"/>
    </xf>
    <xf numFmtId="2" fontId="3" fillId="0" borderId="5" xfId="0" applyNumberFormat="1" applyFont="1" applyBorder="1" applyAlignment="1">
      <alignment horizontal="left"/>
    </xf>
    <xf numFmtId="0" fontId="18" fillId="0" borderId="4" xfId="0" applyFont="1" applyBorder="1" applyAlignment="1">
      <alignment horizontal="right"/>
    </xf>
    <xf numFmtId="166" fontId="0" fillId="0" borderId="0" xfId="0" applyNumberFormat="1" applyAlignment="1">
      <alignment horizontal="left" vertical="top" wrapText="1"/>
    </xf>
    <xf numFmtId="181" fontId="0" fillId="5" borderId="5" xfId="0" applyNumberFormat="1" applyFill="1" applyBorder="1" applyAlignment="1">
      <alignment horizontal="center" vertical="center"/>
    </xf>
    <xf numFmtId="0" fontId="0" fillId="0" borderId="5" xfId="0" applyBorder="1" applyAlignment="1">
      <alignment horizontal="center" vertical="center" wrapText="1"/>
    </xf>
    <xf numFmtId="0" fontId="0" fillId="7" borderId="0" xfId="0" applyFill="1" applyAlignment="1">
      <alignment horizontal="right" vertical="top" wrapText="1"/>
    </xf>
    <xf numFmtId="0" fontId="0" fillId="2" borderId="0" xfId="0" applyFill="1" applyAlignment="1">
      <alignment horizontal="right" vertical="top" wrapText="1"/>
    </xf>
    <xf numFmtId="0" fontId="0" fillId="0" borderId="7" xfId="0" applyBorder="1" applyAlignment="1">
      <alignment horizontal="left" vertical="top"/>
    </xf>
    <xf numFmtId="181" fontId="0" fillId="5" borderId="3" xfId="0" applyNumberFormat="1" applyFill="1" applyBorder="1" applyAlignment="1">
      <alignment horizontal="center" vertical="center"/>
    </xf>
    <xf numFmtId="177" fontId="0" fillId="0" borderId="0" xfId="0" applyNumberFormat="1" applyAlignment="1">
      <alignment horizontal="left"/>
    </xf>
    <xf numFmtId="205" fontId="0" fillId="0" borderId="0" xfId="0" applyNumberFormat="1" applyAlignment="1">
      <alignment horizontal="left"/>
    </xf>
    <xf numFmtId="199" fontId="0" fillId="0" borderId="0" xfId="0" applyNumberFormat="1" applyAlignment="1">
      <alignment horizontal="left"/>
    </xf>
    <xf numFmtId="0" fontId="0" fillId="0" borderId="4" xfId="0" applyBorder="1" applyAlignment="1">
      <alignment horizontal="right" vertical="top" wrapText="1"/>
    </xf>
    <xf numFmtId="0" fontId="0" fillId="7" borderId="0" xfId="0" applyFill="1" applyAlignment="1">
      <alignment horizontal="right"/>
    </xf>
    <xf numFmtId="177" fontId="0" fillId="7" borderId="9" xfId="0" applyNumberFormat="1" applyFill="1" applyBorder="1" applyAlignment="1">
      <alignment horizontal="left"/>
    </xf>
    <xf numFmtId="166" fontId="0" fillId="7" borderId="9" xfId="0" applyNumberFormat="1" applyFill="1" applyBorder="1" applyAlignment="1">
      <alignment horizontal="left" vertical="top" wrapText="1"/>
    </xf>
    <xf numFmtId="0" fontId="0" fillId="6" borderId="16" xfId="0" applyFill="1" applyBorder="1" applyAlignment="1">
      <alignment horizontal="right" vertical="top" wrapText="1"/>
    </xf>
    <xf numFmtId="200" fontId="0" fillId="6" borderId="17" xfId="0" applyNumberFormat="1" applyFill="1" applyBorder="1" applyAlignment="1">
      <alignment horizontal="left" vertical="top" wrapText="1"/>
    </xf>
    <xf numFmtId="0" fontId="0" fillId="6" borderId="14" xfId="0" applyFill="1" applyBorder="1" applyAlignment="1">
      <alignment horizontal="right"/>
    </xf>
    <xf numFmtId="1" fontId="0" fillId="0" borderId="0" xfId="0" applyNumberFormat="1" applyAlignment="1">
      <alignment horizontal="center"/>
    </xf>
    <xf numFmtId="1" fontId="0" fillId="6" borderId="0" xfId="0" applyNumberFormat="1" applyFill="1" applyAlignment="1">
      <alignment horizontal="center"/>
    </xf>
    <xf numFmtId="0" fontId="0" fillId="6" borderId="0" xfId="0" applyFill="1" applyAlignment="1">
      <alignment horizontal="center"/>
    </xf>
    <xf numFmtId="0" fontId="0" fillId="0" borderId="9" xfId="0" applyBorder="1" applyAlignment="1">
      <alignment horizontal="right"/>
    </xf>
    <xf numFmtId="202" fontId="0" fillId="0" borderId="9" xfId="0" applyNumberFormat="1" applyBorder="1" applyAlignment="1">
      <alignment horizontal="center"/>
    </xf>
    <xf numFmtId="0" fontId="0" fillId="0" borderId="9" xfId="0" applyBorder="1"/>
    <xf numFmtId="0" fontId="0" fillId="0" borderId="9" xfId="0" applyBorder="1" applyAlignment="1">
      <alignment horizontal="center"/>
    </xf>
    <xf numFmtId="0" fontId="0" fillId="0" borderId="4" xfId="0" applyBorder="1" applyAlignment="1">
      <alignment horizontal="center"/>
    </xf>
    <xf numFmtId="1" fontId="0" fillId="0" borderId="4" xfId="0" applyNumberFormat="1" applyBorder="1" applyAlignment="1">
      <alignment horizontal="center"/>
    </xf>
    <xf numFmtId="1" fontId="0" fillId="0" borderId="5" xfId="0" applyNumberFormat="1" applyBorder="1" applyAlignment="1">
      <alignment horizontal="center"/>
    </xf>
    <xf numFmtId="0" fontId="0" fillId="0" borderId="19" xfId="0" applyBorder="1" applyAlignment="1">
      <alignment horizontal="right"/>
    </xf>
    <xf numFmtId="0" fontId="0" fillId="0" borderId="19" xfId="0" applyBorder="1" applyAlignment="1">
      <alignment horizontal="center"/>
    </xf>
    <xf numFmtId="0" fontId="0" fillId="0" borderId="19" xfId="0" applyBorder="1"/>
    <xf numFmtId="206" fontId="0" fillId="0" borderId="9" xfId="0" applyNumberFormat="1" applyBorder="1" applyAlignment="1">
      <alignment horizontal="center"/>
    </xf>
    <xf numFmtId="2" fontId="0" fillId="0" borderId="9" xfId="0" applyNumberFormat="1" applyBorder="1" applyAlignment="1">
      <alignment horizontal="center"/>
    </xf>
    <xf numFmtId="1" fontId="0" fillId="6" borderId="5" xfId="0" applyNumberFormat="1" applyFill="1" applyBorder="1" applyAlignment="1">
      <alignment horizontal="center"/>
    </xf>
    <xf numFmtId="1" fontId="0" fillId="6" borderId="4" xfId="0" applyNumberFormat="1" applyFill="1" applyBorder="1" applyAlignment="1">
      <alignment horizontal="center"/>
    </xf>
    <xf numFmtId="0" fontId="0" fillId="6" borderId="0" xfId="0" applyFill="1"/>
    <xf numFmtId="0" fontId="0" fillId="6" borderId="4" xfId="0" applyFill="1" applyBorder="1" applyAlignment="1">
      <alignment horizontal="center"/>
    </xf>
    <xf numFmtId="164" fontId="0" fillId="0" borderId="9" xfId="0" applyNumberFormat="1" applyBorder="1" applyAlignment="1">
      <alignment horizontal="center"/>
    </xf>
    <xf numFmtId="0" fontId="6" fillId="4" borderId="6" xfId="0" applyFont="1" applyFill="1" applyBorder="1" applyAlignment="1">
      <alignment horizontal="right"/>
    </xf>
    <xf numFmtId="0" fontId="3" fillId="4" borderId="7" xfId="0" applyFont="1" applyFill="1" applyBorder="1" applyAlignment="1">
      <alignment horizontal="left"/>
    </xf>
    <xf numFmtId="0" fontId="0" fillId="0" borderId="4" xfId="0" applyBorder="1" applyAlignment="1">
      <alignment horizontal="left" vertical="top"/>
    </xf>
    <xf numFmtId="0" fontId="0" fillId="0" borderId="0" xfId="0" quotePrefix="1" applyAlignment="1">
      <alignment horizontal="center" vertical="center"/>
    </xf>
    <xf numFmtId="0" fontId="0" fillId="2" borderId="0" xfId="0" applyFill="1" applyAlignment="1">
      <alignment horizontal="left" vertical="center"/>
    </xf>
    <xf numFmtId="195" fontId="0" fillId="2" borderId="0" xfId="0" applyNumberFormat="1" applyFill="1" applyAlignment="1">
      <alignment horizontal="left" vertical="top"/>
    </xf>
    <xf numFmtId="180" fontId="0" fillId="2" borderId="0" xfId="0" quotePrefix="1" applyNumberFormat="1" applyFill="1" applyAlignment="1">
      <alignment horizontal="left"/>
    </xf>
    <xf numFmtId="176" fontId="14" fillId="2" borderId="0" xfId="0" quotePrefix="1" applyNumberFormat="1" applyFont="1" applyFill="1" applyAlignment="1">
      <alignment horizontal="right"/>
    </xf>
    <xf numFmtId="203" fontId="21" fillId="2" borderId="0" xfId="0" applyNumberFormat="1" applyFont="1" applyFill="1" applyAlignment="1">
      <alignment horizontal="left"/>
    </xf>
    <xf numFmtId="0" fontId="0" fillId="7" borderId="0" xfId="0" applyFill="1" applyAlignment="1">
      <alignment horizontal="right" vertical="center" wrapText="1"/>
    </xf>
    <xf numFmtId="178" fontId="0" fillId="7" borderId="0" xfId="0" applyNumberFormat="1" applyFill="1" applyAlignment="1">
      <alignment horizontal="left" vertical="center"/>
    </xf>
    <xf numFmtId="202" fontId="0" fillId="0" borderId="2" xfId="0" applyNumberFormat="1" applyBorder="1"/>
    <xf numFmtId="182" fontId="0" fillId="5" borderId="0" xfId="0" applyNumberFormat="1" applyFill="1"/>
    <xf numFmtId="164" fontId="0" fillId="0" borderId="0" xfId="0" applyNumberFormat="1" applyAlignment="1">
      <alignment horizontal="center"/>
    </xf>
    <xf numFmtId="2" fontId="0" fillId="0" borderId="0" xfId="0" applyNumberFormat="1" applyAlignment="1">
      <alignment horizontal="center" vertical="center"/>
    </xf>
    <xf numFmtId="200" fontId="0" fillId="2" borderId="0" xfId="0" applyNumberFormat="1" applyFill="1" applyAlignment="1">
      <alignment horizontal="left" vertical="top" wrapText="1"/>
    </xf>
    <xf numFmtId="0" fontId="0" fillId="2" borderId="0" xfId="0" applyFill="1" applyAlignment="1">
      <alignment horizontal="right"/>
    </xf>
    <xf numFmtId="0" fontId="0" fillId="2" borderId="0" xfId="0" applyFill="1" applyAlignment="1">
      <alignment horizontal="right" vertical="top"/>
    </xf>
    <xf numFmtId="0" fontId="0" fillId="6" borderId="0" xfId="0" applyFill="1" applyAlignment="1">
      <alignment horizontal="left" vertical="top" wrapText="1"/>
    </xf>
    <xf numFmtId="178" fontId="0" fillId="6" borderId="0" xfId="0" applyNumberFormat="1" applyFill="1" applyAlignment="1">
      <alignment horizontal="left" vertical="center"/>
    </xf>
    <xf numFmtId="195" fontId="0" fillId="6" borderId="0" xfId="0" applyNumberFormat="1" applyFill="1" applyAlignment="1">
      <alignment horizontal="left" vertical="top"/>
    </xf>
    <xf numFmtId="180" fontId="0" fillId="6" borderId="0" xfId="0" quotePrefix="1" applyNumberFormat="1" applyFill="1" applyAlignment="1">
      <alignment horizontal="left"/>
    </xf>
    <xf numFmtId="182" fontId="0" fillId="0" borderId="5" xfId="0" applyNumberFormat="1" applyBorder="1"/>
    <xf numFmtId="179" fontId="0" fillId="4" borderId="0" xfId="0" applyNumberFormat="1" applyFill="1" applyAlignment="1">
      <alignment horizontal="left"/>
    </xf>
    <xf numFmtId="0" fontId="16" fillId="4" borderId="0" xfId="0" applyFont="1" applyFill="1" applyAlignment="1">
      <alignment horizontal="right"/>
    </xf>
    <xf numFmtId="0" fontId="2" fillId="3" borderId="0" xfId="0" applyFont="1" applyFill="1"/>
    <xf numFmtId="166" fontId="3" fillId="4" borderId="0" xfId="0" applyNumberFormat="1" applyFont="1" applyFill="1" applyAlignment="1">
      <alignment horizontal="left"/>
    </xf>
    <xf numFmtId="165" fontId="3" fillId="4" borderId="0" xfId="0" applyNumberFormat="1" applyFont="1" applyFill="1" applyAlignment="1">
      <alignment horizontal="center"/>
    </xf>
    <xf numFmtId="0" fontId="6" fillId="4" borderId="0" xfId="0" applyFont="1" applyFill="1" applyAlignment="1">
      <alignment horizontal="right"/>
    </xf>
    <xf numFmtId="0" fontId="2" fillId="4" borderId="0" xfId="0" applyFont="1" applyFill="1"/>
    <xf numFmtId="168" fontId="3" fillId="2" borderId="0" xfId="0" applyNumberFormat="1" applyFont="1" applyFill="1" applyAlignment="1">
      <alignment horizontal="left"/>
    </xf>
    <xf numFmtId="164" fontId="0" fillId="2" borderId="0" xfId="0" applyNumberFormat="1" applyFill="1" applyAlignment="1">
      <alignment horizontal="left"/>
    </xf>
    <xf numFmtId="176" fontId="14" fillId="6" borderId="0" xfId="0" quotePrefix="1" applyNumberFormat="1" applyFont="1" applyFill="1" applyAlignment="1">
      <alignment horizontal="left"/>
    </xf>
    <xf numFmtId="181" fontId="0" fillId="0" borderId="5" xfId="0" applyNumberFormat="1" applyBorder="1" applyAlignment="1">
      <alignment horizontal="center" vertical="center"/>
    </xf>
    <xf numFmtId="208" fontId="0" fillId="2" borderId="0" xfId="0" applyNumberFormat="1" applyFill="1" applyAlignment="1">
      <alignment horizontal="left"/>
    </xf>
    <xf numFmtId="0" fontId="0" fillId="0" borderId="2" xfId="0" applyBorder="1" applyAlignment="1">
      <alignment horizontal="right" vertical="top"/>
    </xf>
    <xf numFmtId="0" fontId="0" fillId="0" borderId="2" xfId="0" applyBorder="1" applyAlignment="1">
      <alignment horizontal="left" vertical="top"/>
    </xf>
    <xf numFmtId="181" fontId="0" fillId="5" borderId="3" xfId="0" applyNumberFormat="1" applyFill="1" applyBorder="1"/>
    <xf numFmtId="194" fontId="0" fillId="0" borderId="0" xfId="0" applyNumberFormat="1"/>
    <xf numFmtId="2" fontId="0" fillId="0" borderId="0" xfId="0" applyNumberFormat="1" applyAlignment="1">
      <alignment horizontal="center"/>
    </xf>
    <xf numFmtId="209" fontId="0" fillId="2" borderId="0" xfId="0" applyNumberFormat="1" applyFill="1" applyAlignment="1">
      <alignment horizontal="left"/>
    </xf>
    <xf numFmtId="193" fontId="0" fillId="0" borderId="0" xfId="0" applyNumberFormat="1"/>
    <xf numFmtId="209" fontId="0" fillId="2" borderId="0" xfId="0" applyNumberFormat="1" applyFill="1" applyAlignment="1">
      <alignment horizontal="left" vertical="top" wrapText="1"/>
    </xf>
    <xf numFmtId="202" fontId="0" fillId="0" borderId="0" xfId="0" applyNumberFormat="1"/>
    <xf numFmtId="0" fontId="3" fillId="4" borderId="5" xfId="0" applyFont="1" applyFill="1" applyBorder="1" applyAlignment="1">
      <alignment horizontal="right"/>
    </xf>
    <xf numFmtId="170" fontId="0" fillId="0" borderId="2" xfId="0" applyNumberFormat="1" applyBorder="1" applyAlignment="1">
      <alignment horizontal="left" vertical="top" wrapText="1"/>
    </xf>
    <xf numFmtId="210" fontId="0" fillId="0" borderId="0" xfId="0" applyNumberFormat="1"/>
    <xf numFmtId="193" fontId="0" fillId="0" borderId="0" xfId="0" applyNumberFormat="1" applyAlignment="1">
      <alignment horizontal="right" vertical="top"/>
    </xf>
    <xf numFmtId="193" fontId="0" fillId="0" borderId="0" xfId="0" applyNumberFormat="1" applyAlignment="1">
      <alignment horizontal="right"/>
    </xf>
    <xf numFmtId="197" fontId="0" fillId="0" borderId="2" xfId="0" applyNumberFormat="1" applyBorder="1" applyAlignment="1">
      <alignment horizontal="left"/>
    </xf>
    <xf numFmtId="185" fontId="0" fillId="0" borderId="7" xfId="0" applyNumberFormat="1" applyBorder="1" applyAlignment="1">
      <alignment horizontal="left"/>
    </xf>
    <xf numFmtId="170" fontId="0" fillId="0" borderId="7" xfId="0" applyNumberFormat="1" applyBorder="1" applyAlignment="1">
      <alignment horizontal="left"/>
    </xf>
    <xf numFmtId="0" fontId="0" fillId="4" borderId="0" xfId="0" applyFill="1" applyAlignment="1">
      <alignment vertical="top" wrapText="1"/>
    </xf>
    <xf numFmtId="0" fontId="22" fillId="4" borderId="8" xfId="0" applyFont="1" applyFill="1" applyBorder="1" applyAlignment="1">
      <alignment vertical="top"/>
    </xf>
    <xf numFmtId="211" fontId="0" fillId="7" borderId="0" xfId="0" applyNumberFormat="1" applyFill="1" applyAlignment="1">
      <alignment horizontal="left"/>
    </xf>
    <xf numFmtId="211" fontId="0" fillId="6" borderId="15" xfId="0" applyNumberFormat="1" applyFill="1" applyBorder="1" applyAlignment="1">
      <alignment horizontal="left"/>
    </xf>
    <xf numFmtId="176" fontId="14" fillId="2" borderId="0" xfId="0" quotePrefix="1" applyNumberFormat="1" applyFont="1" applyFill="1" applyAlignment="1">
      <alignment horizontal="left"/>
    </xf>
    <xf numFmtId="0" fontId="0" fillId="6" borderId="2" xfId="0" applyFill="1" applyBorder="1" applyAlignment="1">
      <alignment horizontal="right"/>
    </xf>
    <xf numFmtId="199" fontId="0" fillId="6" borderId="2" xfId="0" applyNumberFormat="1" applyFill="1" applyBorder="1" applyAlignment="1">
      <alignment horizontal="left"/>
    </xf>
    <xf numFmtId="197" fontId="0" fillId="6" borderId="0" xfId="0" applyNumberFormat="1" applyFill="1" applyAlignment="1">
      <alignment horizontal="left"/>
    </xf>
    <xf numFmtId="166" fontId="0" fillId="6" borderId="9" xfId="0" applyNumberFormat="1" applyFill="1" applyBorder="1" applyAlignment="1">
      <alignment horizontal="left" vertical="top" wrapText="1"/>
    </xf>
    <xf numFmtId="0" fontId="0" fillId="4" borderId="9" xfId="0" applyFill="1" applyBorder="1" applyAlignment="1">
      <alignment horizontal="center"/>
    </xf>
    <xf numFmtId="170" fontId="0" fillId="0" borderId="0" xfId="0" applyNumberFormat="1" applyAlignment="1">
      <alignment horizontal="left" vertical="top"/>
    </xf>
    <xf numFmtId="183" fontId="3" fillId="4" borderId="0" xfId="0" applyNumberFormat="1" applyFont="1" applyFill="1" applyAlignment="1">
      <alignment horizontal="left"/>
    </xf>
    <xf numFmtId="0" fontId="0" fillId="4" borderId="0" xfId="0" applyFill="1" applyAlignment="1">
      <alignment horizontal="center" vertical="center"/>
    </xf>
    <xf numFmtId="0" fontId="0" fillId="4" borderId="7" xfId="0" applyFill="1" applyBorder="1" applyAlignment="1">
      <alignment horizontal="center" vertical="center"/>
    </xf>
    <xf numFmtId="209" fontId="0" fillId="0" borderId="0" xfId="0" applyNumberFormat="1" applyAlignment="1">
      <alignment horizontal="left" vertical="top" wrapText="1"/>
    </xf>
    <xf numFmtId="208" fontId="0" fillId="0" borderId="0" xfId="0" applyNumberFormat="1" applyAlignment="1">
      <alignment horizontal="left"/>
    </xf>
    <xf numFmtId="0" fontId="0" fillId="0" borderId="4" xfId="0" applyBorder="1" applyAlignment="1">
      <alignment horizontal="right" vertical="top"/>
    </xf>
    <xf numFmtId="199" fontId="0" fillId="0" borderId="0" xfId="0" applyNumberFormat="1" applyAlignment="1">
      <alignment horizontal="left" vertical="top" wrapText="1"/>
    </xf>
    <xf numFmtId="165" fontId="0" fillId="0" borderId="0" xfId="0" applyNumberFormat="1" applyAlignment="1">
      <alignment horizontal="left" vertical="top" wrapText="1"/>
    </xf>
    <xf numFmtId="207" fontId="0" fillId="0" borderId="0" xfId="0" applyNumberFormat="1" applyAlignment="1">
      <alignment horizontal="left" vertical="top" wrapText="1"/>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0" fillId="4" borderId="0" xfId="0" applyFill="1" applyAlignment="1">
      <alignment horizontal="center" vertical="center"/>
    </xf>
    <xf numFmtId="0" fontId="16" fillId="4" borderId="0" xfId="0" applyFont="1" applyFill="1" applyAlignment="1">
      <alignment horizontal="center" vertical="top" wrapText="1"/>
    </xf>
    <xf numFmtId="0" fontId="16" fillId="4" borderId="5" xfId="0" applyFont="1" applyFill="1" applyBorder="1" applyAlignment="1">
      <alignment horizontal="center" vertical="top" wrapText="1"/>
    </xf>
    <xf numFmtId="0" fontId="22" fillId="4" borderId="7" xfId="0" applyFont="1" applyFill="1" applyBorder="1" applyAlignment="1">
      <alignment horizontal="center" vertical="top"/>
    </xf>
    <xf numFmtId="0" fontId="0" fillId="0" borderId="0" xfId="0" applyAlignment="1">
      <alignment horizontal="left" vertical="top" wrapText="1"/>
    </xf>
    <xf numFmtId="0" fontId="23" fillId="4" borderId="2" xfId="0" applyFont="1" applyFill="1" applyBorder="1" applyAlignment="1">
      <alignment horizontal="center" vertical="center"/>
    </xf>
    <xf numFmtId="0" fontId="23" fillId="4" borderId="0" xfId="0" applyFont="1" applyFill="1" applyAlignment="1">
      <alignment horizontal="center" vertical="center"/>
    </xf>
    <xf numFmtId="0" fontId="8" fillId="4" borderId="2" xfId="0" applyFont="1" applyFill="1" applyBorder="1" applyAlignment="1">
      <alignment horizontal="center" vertical="top"/>
    </xf>
    <xf numFmtId="0" fontId="8" fillId="4" borderId="3" xfId="0" applyFont="1" applyFill="1" applyBorder="1" applyAlignment="1">
      <alignment horizontal="center" vertical="top"/>
    </xf>
    <xf numFmtId="0" fontId="8" fillId="4" borderId="0" xfId="0" applyFont="1" applyFill="1" applyAlignment="1">
      <alignment horizontal="center" vertical="top"/>
    </xf>
    <xf numFmtId="0" fontId="8" fillId="4" borderId="5" xfId="0" applyFont="1" applyFill="1" applyBorder="1" applyAlignment="1">
      <alignment horizontal="center" vertical="top"/>
    </xf>
    <xf numFmtId="182" fontId="0" fillId="5" borderId="5" xfId="0" applyNumberFormat="1" applyFill="1" applyBorder="1" applyAlignment="1">
      <alignment horizontal="center" vertical="center"/>
    </xf>
    <xf numFmtId="0" fontId="0" fillId="4" borderId="0" xfId="0" applyFill="1" applyAlignment="1">
      <alignment horizontal="left" vertical="top"/>
    </xf>
    <xf numFmtId="0" fontId="0" fillId="4" borderId="4" xfId="0" applyFill="1" applyBorder="1" applyAlignment="1">
      <alignment horizontal="center" vertical="center"/>
    </xf>
    <xf numFmtId="0" fontId="0" fillId="0" borderId="0" xfId="0" applyAlignment="1">
      <alignment horizontal="center" vertical="top" wrapText="1"/>
    </xf>
    <xf numFmtId="0" fontId="0" fillId="0" borderId="0" xfId="0" applyAlignment="1">
      <alignment horizontal="center" vertical="center" wrapText="1"/>
    </xf>
    <xf numFmtId="0" fontId="8" fillId="0" borderId="1" xfId="0" applyFont="1" applyBorder="1" applyAlignment="1">
      <alignment horizontal="center" vertical="top"/>
    </xf>
    <xf numFmtId="0" fontId="8" fillId="0" borderId="2" xfId="0" applyFont="1" applyBorder="1" applyAlignment="1">
      <alignment horizontal="center" vertical="top"/>
    </xf>
    <xf numFmtId="0" fontId="8" fillId="0" borderId="3" xfId="0" applyFont="1" applyBorder="1" applyAlignment="1">
      <alignment horizontal="center" vertical="top"/>
    </xf>
    <xf numFmtId="0" fontId="8" fillId="0" borderId="4" xfId="0" applyFont="1" applyBorder="1" applyAlignment="1">
      <alignment horizontal="center" vertical="top"/>
    </xf>
    <xf numFmtId="0" fontId="8" fillId="0" borderId="0" xfId="0" applyFont="1" applyAlignment="1">
      <alignment horizontal="center" vertical="top"/>
    </xf>
    <xf numFmtId="0" fontId="8" fillId="0" borderId="5" xfId="0" applyFont="1" applyBorder="1" applyAlignment="1">
      <alignment horizontal="center"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3" fillId="0" borderId="14" xfId="0" applyFont="1" applyBorder="1" applyAlignment="1">
      <alignment horizontal="center"/>
    </xf>
    <xf numFmtId="0" fontId="13" fillId="0" borderId="18" xfId="0" applyFont="1" applyBorder="1" applyAlignment="1">
      <alignment horizontal="center"/>
    </xf>
    <xf numFmtId="0" fontId="13" fillId="0" borderId="15"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3" fillId="0" borderId="9" xfId="0" applyFont="1" applyBorder="1" applyAlignment="1">
      <alignment horizontal="center"/>
    </xf>
    <xf numFmtId="177" fontId="0" fillId="6" borderId="9" xfId="0" applyNumberFormat="1" applyFill="1"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Verbrauchskennfeld</a:t>
            </a:r>
          </a:p>
        </c:rich>
      </c:tx>
      <c:overlay val="0"/>
    </c:title>
    <c:autoTitleDeleted val="0"/>
    <c:plotArea>
      <c:layout>
        <c:manualLayout>
          <c:layoutTarget val="inner"/>
          <c:xMode val="edge"/>
          <c:yMode val="edge"/>
          <c:x val="8.2503853684956038E-2"/>
          <c:y val="7.8377301512708164E-2"/>
          <c:w val="0.75305512154965315"/>
          <c:h val="0.81625797285898216"/>
        </c:manualLayout>
      </c:layout>
      <c:scatterChart>
        <c:scatterStyle val="smoothMarker"/>
        <c:varyColors val="0"/>
        <c:ser>
          <c:idx val="11"/>
          <c:order val="0"/>
          <c:tx>
            <c:v>max. Motormoment</c:v>
          </c:tx>
          <c:spPr>
            <a:ln w="44450">
              <a:solidFill>
                <a:schemeClr val="tx1"/>
              </a:solidFill>
            </a:ln>
          </c:spPr>
          <c:marker>
            <c:symbol val="none"/>
          </c:marker>
          <c:xVal>
            <c:numRef>
              <c:f>'Daten und Kennfelder'!$G$8:$G$13</c:f>
              <c:numCache>
                <c:formatCode>0\ "1/min"</c:formatCode>
                <c:ptCount val="6"/>
                <c:pt idx="0">
                  <c:v>900</c:v>
                </c:pt>
                <c:pt idx="1">
                  <c:v>1500</c:v>
                </c:pt>
                <c:pt idx="2">
                  <c:v>3000</c:v>
                </c:pt>
                <c:pt idx="3">
                  <c:v>4800</c:v>
                </c:pt>
                <c:pt idx="4">
                  <c:v>5500</c:v>
                </c:pt>
                <c:pt idx="5">
                  <c:v>6100</c:v>
                </c:pt>
              </c:numCache>
            </c:numRef>
          </c:xVal>
          <c:yVal>
            <c:numRef>
              <c:f>'Daten und Kennfelder'!$H$8:$H$13</c:f>
              <c:numCache>
                <c:formatCode>0\ "Nm"</c:formatCode>
                <c:ptCount val="6"/>
                <c:pt idx="0">
                  <c:v>120</c:v>
                </c:pt>
                <c:pt idx="1">
                  <c:v>165</c:v>
                </c:pt>
                <c:pt idx="2">
                  <c:v>198</c:v>
                </c:pt>
                <c:pt idx="3">
                  <c:v>200</c:v>
                </c:pt>
                <c:pt idx="4">
                  <c:v>193</c:v>
                </c:pt>
                <c:pt idx="5">
                  <c:v>160</c:v>
                </c:pt>
              </c:numCache>
            </c:numRef>
          </c:yVal>
          <c:smooth val="1"/>
          <c:extLst>
            <c:ext xmlns:c16="http://schemas.microsoft.com/office/drawing/2014/chart" uri="{C3380CC4-5D6E-409C-BE32-E72D297353CC}">
              <c16:uniqueId val="{00000000-43C0-4405-9A2D-04B10CAC947C}"/>
            </c:ext>
          </c:extLst>
        </c:ser>
        <c:ser>
          <c:idx val="12"/>
          <c:order val="1"/>
          <c:tx>
            <c:strRef>
              <c:f>'Daten und Kennfelder'!$Q$44</c:f>
              <c:strCache>
                <c:ptCount val="1"/>
                <c:pt idx="0">
                  <c:v>250</c:v>
                </c:pt>
              </c:strCache>
            </c:strRef>
          </c:tx>
          <c:spPr>
            <a:ln w="19050">
              <a:solidFill>
                <a:schemeClr val="tx1"/>
              </a:solidFill>
            </a:ln>
          </c:spPr>
          <c:marker>
            <c:symbol val="none"/>
          </c:marker>
          <c:xVal>
            <c:numRef>
              <c:f>'Daten und Kennfelder'!$N$45:$N$65</c:f>
              <c:numCache>
                <c:formatCode>0\ "1/min"</c:formatCode>
                <c:ptCount val="21"/>
                <c:pt idx="0">
                  <c:v>800</c:v>
                </c:pt>
                <c:pt idx="1">
                  <c:v>1000</c:v>
                </c:pt>
                <c:pt idx="2">
                  <c:v>1200</c:v>
                </c:pt>
                <c:pt idx="3">
                  <c:v>1400</c:v>
                </c:pt>
                <c:pt idx="4">
                  <c:v>1600</c:v>
                </c:pt>
                <c:pt idx="5">
                  <c:v>1800</c:v>
                </c:pt>
                <c:pt idx="6">
                  <c:v>2000</c:v>
                </c:pt>
                <c:pt idx="7">
                  <c:v>2200</c:v>
                </c:pt>
                <c:pt idx="8">
                  <c:v>2400</c:v>
                </c:pt>
                <c:pt idx="9">
                  <c:v>2600</c:v>
                </c:pt>
                <c:pt idx="10">
                  <c:v>2800</c:v>
                </c:pt>
                <c:pt idx="11">
                  <c:v>3000</c:v>
                </c:pt>
                <c:pt idx="12">
                  <c:v>3200</c:v>
                </c:pt>
                <c:pt idx="13">
                  <c:v>3400</c:v>
                </c:pt>
                <c:pt idx="14">
                  <c:v>3600</c:v>
                </c:pt>
                <c:pt idx="15">
                  <c:v>3800</c:v>
                </c:pt>
                <c:pt idx="16">
                  <c:v>4000</c:v>
                </c:pt>
                <c:pt idx="17">
                  <c:v>4200</c:v>
                </c:pt>
                <c:pt idx="18">
                  <c:v>4400</c:v>
                </c:pt>
                <c:pt idx="19">
                  <c:v>4600</c:v>
                </c:pt>
                <c:pt idx="20">
                  <c:v>4800</c:v>
                </c:pt>
              </c:numCache>
            </c:numRef>
          </c:xVal>
          <c:yVal>
            <c:numRef>
              <c:f>'Daten und Kennfelder'!$Q$45:$Q$65</c:f>
              <c:numCache>
                <c:formatCode>General</c:formatCode>
                <c:ptCount val="21"/>
                <c:pt idx="5">
                  <c:v>150</c:v>
                </c:pt>
                <c:pt idx="6">
                  <c:v>140</c:v>
                </c:pt>
                <c:pt idx="7">
                  <c:v>134</c:v>
                </c:pt>
                <c:pt idx="8">
                  <c:v>133</c:v>
                </c:pt>
                <c:pt idx="9">
                  <c:v>135</c:v>
                </c:pt>
                <c:pt idx="10">
                  <c:v>140</c:v>
                </c:pt>
                <c:pt idx="11">
                  <c:v>145</c:v>
                </c:pt>
                <c:pt idx="12">
                  <c:v>160</c:v>
                </c:pt>
              </c:numCache>
            </c:numRef>
          </c:yVal>
          <c:smooth val="1"/>
          <c:extLst>
            <c:ext xmlns:c16="http://schemas.microsoft.com/office/drawing/2014/chart" uri="{C3380CC4-5D6E-409C-BE32-E72D297353CC}">
              <c16:uniqueId val="{00000001-43C0-4405-9A2D-04B10CAC947C}"/>
            </c:ext>
          </c:extLst>
        </c:ser>
        <c:ser>
          <c:idx val="13"/>
          <c:order val="2"/>
          <c:tx>
            <c:strRef>
              <c:f>'Daten und Kennfelder'!$O$44</c:f>
              <c:strCache>
                <c:ptCount val="1"/>
                <c:pt idx="0">
                  <c:v>200</c:v>
                </c:pt>
              </c:strCache>
            </c:strRef>
          </c:tx>
          <c:spPr>
            <a:ln w="19050">
              <a:solidFill>
                <a:schemeClr val="tx1"/>
              </a:solidFill>
            </a:ln>
          </c:spPr>
          <c:marker>
            <c:symbol val="none"/>
          </c:marker>
          <c:xVal>
            <c:numRef>
              <c:f>'Daten und Kennfelder'!$N$45:$N$75</c:f>
              <c:numCache>
                <c:formatCode>0\ "1/min"</c:formatCode>
                <c:ptCount val="31"/>
                <c:pt idx="0">
                  <c:v>800</c:v>
                </c:pt>
                <c:pt idx="1">
                  <c:v>1000</c:v>
                </c:pt>
                <c:pt idx="2">
                  <c:v>1200</c:v>
                </c:pt>
                <c:pt idx="3">
                  <c:v>1400</c:v>
                </c:pt>
                <c:pt idx="4">
                  <c:v>1600</c:v>
                </c:pt>
                <c:pt idx="5">
                  <c:v>1800</c:v>
                </c:pt>
                <c:pt idx="6">
                  <c:v>2000</c:v>
                </c:pt>
                <c:pt idx="7">
                  <c:v>2200</c:v>
                </c:pt>
                <c:pt idx="8">
                  <c:v>2400</c:v>
                </c:pt>
                <c:pt idx="9">
                  <c:v>2600</c:v>
                </c:pt>
                <c:pt idx="10">
                  <c:v>2800</c:v>
                </c:pt>
                <c:pt idx="11">
                  <c:v>3000</c:v>
                </c:pt>
                <c:pt idx="12">
                  <c:v>3200</c:v>
                </c:pt>
                <c:pt idx="13">
                  <c:v>3400</c:v>
                </c:pt>
                <c:pt idx="14">
                  <c:v>3600</c:v>
                </c:pt>
                <c:pt idx="15">
                  <c:v>3800</c:v>
                </c:pt>
                <c:pt idx="16">
                  <c:v>4000</c:v>
                </c:pt>
                <c:pt idx="17">
                  <c:v>4200</c:v>
                </c:pt>
                <c:pt idx="18">
                  <c:v>4400</c:v>
                </c:pt>
                <c:pt idx="19">
                  <c:v>4600</c:v>
                </c:pt>
                <c:pt idx="20">
                  <c:v>4800</c:v>
                </c:pt>
                <c:pt idx="21">
                  <c:v>5000</c:v>
                </c:pt>
                <c:pt idx="22">
                  <c:v>5200</c:v>
                </c:pt>
                <c:pt idx="23">
                  <c:v>5400</c:v>
                </c:pt>
                <c:pt idx="24">
                  <c:v>5600</c:v>
                </c:pt>
                <c:pt idx="25">
                  <c:v>5800</c:v>
                </c:pt>
                <c:pt idx="26">
                  <c:v>6000</c:v>
                </c:pt>
                <c:pt idx="27">
                  <c:v>6200</c:v>
                </c:pt>
                <c:pt idx="28">
                  <c:v>6400</c:v>
                </c:pt>
                <c:pt idx="29">
                  <c:v>6500</c:v>
                </c:pt>
              </c:numCache>
            </c:numRef>
          </c:xVal>
          <c:yVal>
            <c:numRef>
              <c:f>'Daten und Kennfelder'!$O$45:$O$75</c:f>
              <c:numCache>
                <c:formatCode>General</c:formatCode>
                <c:ptCount val="31"/>
                <c:pt idx="7">
                  <c:v>170</c:v>
                </c:pt>
                <c:pt idx="8">
                  <c:v>165</c:v>
                </c:pt>
                <c:pt idx="9">
                  <c:v>170</c:v>
                </c:pt>
              </c:numCache>
            </c:numRef>
          </c:yVal>
          <c:smooth val="1"/>
          <c:extLst>
            <c:ext xmlns:c16="http://schemas.microsoft.com/office/drawing/2014/chart" uri="{C3380CC4-5D6E-409C-BE32-E72D297353CC}">
              <c16:uniqueId val="{00000002-43C0-4405-9A2D-04B10CAC947C}"/>
            </c:ext>
          </c:extLst>
        </c:ser>
        <c:ser>
          <c:idx val="14"/>
          <c:order val="3"/>
          <c:tx>
            <c:strRef>
              <c:f>'Daten und Kennfelder'!$P$44</c:f>
              <c:strCache>
                <c:ptCount val="1"/>
                <c:pt idx="0">
                  <c:v>200b</c:v>
                </c:pt>
              </c:strCache>
            </c:strRef>
          </c:tx>
          <c:spPr>
            <a:ln w="19050">
              <a:solidFill>
                <a:schemeClr val="tx1"/>
              </a:solidFill>
            </a:ln>
          </c:spPr>
          <c:marker>
            <c:symbol val="none"/>
          </c:marker>
          <c:xVal>
            <c:numRef>
              <c:f>'Daten und Kennfelder'!$N$45:$N$61</c:f>
              <c:numCache>
                <c:formatCode>0\ "1/min"</c:formatCode>
                <c:ptCount val="17"/>
                <c:pt idx="0">
                  <c:v>800</c:v>
                </c:pt>
                <c:pt idx="1">
                  <c:v>1000</c:v>
                </c:pt>
                <c:pt idx="2">
                  <c:v>1200</c:v>
                </c:pt>
                <c:pt idx="3">
                  <c:v>1400</c:v>
                </c:pt>
                <c:pt idx="4">
                  <c:v>1600</c:v>
                </c:pt>
                <c:pt idx="5">
                  <c:v>1800</c:v>
                </c:pt>
                <c:pt idx="6">
                  <c:v>2000</c:v>
                </c:pt>
                <c:pt idx="7">
                  <c:v>2200</c:v>
                </c:pt>
                <c:pt idx="8">
                  <c:v>2400</c:v>
                </c:pt>
                <c:pt idx="9">
                  <c:v>2600</c:v>
                </c:pt>
                <c:pt idx="10">
                  <c:v>2800</c:v>
                </c:pt>
                <c:pt idx="11">
                  <c:v>3000</c:v>
                </c:pt>
                <c:pt idx="12">
                  <c:v>3200</c:v>
                </c:pt>
                <c:pt idx="13">
                  <c:v>3400</c:v>
                </c:pt>
                <c:pt idx="14">
                  <c:v>3600</c:v>
                </c:pt>
                <c:pt idx="15">
                  <c:v>3800</c:v>
                </c:pt>
                <c:pt idx="16">
                  <c:v>4000</c:v>
                </c:pt>
              </c:numCache>
            </c:numRef>
          </c:xVal>
          <c:yVal>
            <c:numRef>
              <c:f>'Daten und Kennfelder'!$P$45:$P$61</c:f>
              <c:numCache>
                <c:formatCode>General</c:formatCode>
                <c:ptCount val="17"/>
                <c:pt idx="7">
                  <c:v>170</c:v>
                </c:pt>
                <c:pt idx="8">
                  <c:v>175</c:v>
                </c:pt>
                <c:pt idx="9">
                  <c:v>170</c:v>
                </c:pt>
              </c:numCache>
            </c:numRef>
          </c:yVal>
          <c:smooth val="1"/>
          <c:extLst>
            <c:ext xmlns:c16="http://schemas.microsoft.com/office/drawing/2014/chart" uri="{C3380CC4-5D6E-409C-BE32-E72D297353CC}">
              <c16:uniqueId val="{00000003-43C0-4405-9A2D-04B10CAC947C}"/>
            </c:ext>
          </c:extLst>
        </c:ser>
        <c:ser>
          <c:idx val="15"/>
          <c:order val="4"/>
          <c:spPr>
            <a:ln w="19050">
              <a:solidFill>
                <a:schemeClr val="tx1"/>
              </a:solidFill>
            </a:ln>
          </c:spPr>
          <c:marker>
            <c:symbol val="none"/>
          </c:marker>
          <c:xVal>
            <c:numRef>
              <c:f>'Daten und Kennfelder'!$N$45:$N$61</c:f>
              <c:numCache>
                <c:formatCode>0\ "1/min"</c:formatCode>
                <c:ptCount val="17"/>
                <c:pt idx="0">
                  <c:v>800</c:v>
                </c:pt>
                <c:pt idx="1">
                  <c:v>1000</c:v>
                </c:pt>
                <c:pt idx="2">
                  <c:v>1200</c:v>
                </c:pt>
                <c:pt idx="3">
                  <c:v>1400</c:v>
                </c:pt>
                <c:pt idx="4">
                  <c:v>1600</c:v>
                </c:pt>
                <c:pt idx="5">
                  <c:v>1800</c:v>
                </c:pt>
                <c:pt idx="6">
                  <c:v>2000</c:v>
                </c:pt>
                <c:pt idx="7">
                  <c:v>2200</c:v>
                </c:pt>
                <c:pt idx="8">
                  <c:v>2400</c:v>
                </c:pt>
                <c:pt idx="9">
                  <c:v>2600</c:v>
                </c:pt>
                <c:pt idx="10">
                  <c:v>2800</c:v>
                </c:pt>
                <c:pt idx="11">
                  <c:v>3000</c:v>
                </c:pt>
                <c:pt idx="12">
                  <c:v>3200</c:v>
                </c:pt>
                <c:pt idx="13">
                  <c:v>3400</c:v>
                </c:pt>
                <c:pt idx="14">
                  <c:v>3600</c:v>
                </c:pt>
                <c:pt idx="15">
                  <c:v>3800</c:v>
                </c:pt>
                <c:pt idx="16">
                  <c:v>4000</c:v>
                </c:pt>
              </c:numCache>
            </c:numRef>
          </c:xVal>
          <c:yVal>
            <c:numRef>
              <c:f>'Daten und Kennfelder'!$R$45:$R$61</c:f>
              <c:numCache>
                <c:formatCode>General</c:formatCode>
                <c:ptCount val="17"/>
                <c:pt idx="5">
                  <c:v>150</c:v>
                </c:pt>
                <c:pt idx="6">
                  <c:v>170</c:v>
                </c:pt>
                <c:pt idx="7">
                  <c:v>182</c:v>
                </c:pt>
                <c:pt idx="8">
                  <c:v>187</c:v>
                </c:pt>
                <c:pt idx="9">
                  <c:v>190</c:v>
                </c:pt>
                <c:pt idx="10">
                  <c:v>188</c:v>
                </c:pt>
                <c:pt idx="11">
                  <c:v>180</c:v>
                </c:pt>
                <c:pt idx="12">
                  <c:v>160</c:v>
                </c:pt>
              </c:numCache>
            </c:numRef>
          </c:yVal>
          <c:smooth val="1"/>
          <c:extLst>
            <c:ext xmlns:c16="http://schemas.microsoft.com/office/drawing/2014/chart" uri="{C3380CC4-5D6E-409C-BE32-E72D297353CC}">
              <c16:uniqueId val="{00000004-43C0-4405-9A2D-04B10CAC947C}"/>
            </c:ext>
          </c:extLst>
        </c:ser>
        <c:ser>
          <c:idx val="16"/>
          <c:order val="5"/>
          <c:spPr>
            <a:ln w="19050">
              <a:solidFill>
                <a:schemeClr val="tx1"/>
              </a:solidFill>
            </a:ln>
          </c:spPr>
          <c:marker>
            <c:symbol val="none"/>
          </c:marker>
          <c:xVal>
            <c:numRef>
              <c:f>'Daten und Kennfelder'!$N$47:$N$68</c:f>
              <c:numCache>
                <c:formatCode>0\ "1/min"</c:formatCode>
                <c:ptCount val="22"/>
                <c:pt idx="0">
                  <c:v>1200</c:v>
                </c:pt>
                <c:pt idx="1">
                  <c:v>1400</c:v>
                </c:pt>
                <c:pt idx="2">
                  <c:v>1600</c:v>
                </c:pt>
                <c:pt idx="3">
                  <c:v>1800</c:v>
                </c:pt>
                <c:pt idx="4">
                  <c:v>2000</c:v>
                </c:pt>
                <c:pt idx="5">
                  <c:v>2200</c:v>
                </c:pt>
                <c:pt idx="6">
                  <c:v>2400</c:v>
                </c:pt>
                <c:pt idx="7">
                  <c:v>2600</c:v>
                </c:pt>
                <c:pt idx="8">
                  <c:v>2800</c:v>
                </c:pt>
                <c:pt idx="9">
                  <c:v>3000</c:v>
                </c:pt>
                <c:pt idx="10">
                  <c:v>3200</c:v>
                </c:pt>
                <c:pt idx="11">
                  <c:v>3400</c:v>
                </c:pt>
                <c:pt idx="12">
                  <c:v>3600</c:v>
                </c:pt>
                <c:pt idx="13">
                  <c:v>3800</c:v>
                </c:pt>
                <c:pt idx="14">
                  <c:v>4000</c:v>
                </c:pt>
                <c:pt idx="15">
                  <c:v>4200</c:v>
                </c:pt>
                <c:pt idx="16">
                  <c:v>4400</c:v>
                </c:pt>
                <c:pt idx="17">
                  <c:v>4600</c:v>
                </c:pt>
                <c:pt idx="18">
                  <c:v>4800</c:v>
                </c:pt>
                <c:pt idx="19">
                  <c:v>5000</c:v>
                </c:pt>
                <c:pt idx="20">
                  <c:v>5200</c:v>
                </c:pt>
                <c:pt idx="21">
                  <c:v>5400</c:v>
                </c:pt>
              </c:numCache>
            </c:numRef>
          </c:xVal>
          <c:yVal>
            <c:numRef>
              <c:f>'Daten und Kennfelder'!$S$47:$S$68</c:f>
              <c:numCache>
                <c:formatCode>General</c:formatCode>
                <c:ptCount val="22"/>
                <c:pt idx="1">
                  <c:v>160</c:v>
                </c:pt>
                <c:pt idx="2">
                  <c:v>132</c:v>
                </c:pt>
                <c:pt idx="3">
                  <c:v>124</c:v>
                </c:pt>
                <c:pt idx="4">
                  <c:v>121</c:v>
                </c:pt>
                <c:pt idx="5">
                  <c:v>119</c:v>
                </c:pt>
                <c:pt idx="6">
                  <c:v>118</c:v>
                </c:pt>
                <c:pt idx="7">
                  <c:v>118</c:v>
                </c:pt>
                <c:pt idx="8">
                  <c:v>118</c:v>
                </c:pt>
                <c:pt idx="9">
                  <c:v>119</c:v>
                </c:pt>
                <c:pt idx="10">
                  <c:v>121</c:v>
                </c:pt>
                <c:pt idx="11">
                  <c:v>124</c:v>
                </c:pt>
                <c:pt idx="12">
                  <c:v>127</c:v>
                </c:pt>
                <c:pt idx="13">
                  <c:v>130</c:v>
                </c:pt>
                <c:pt idx="14">
                  <c:v>134</c:v>
                </c:pt>
                <c:pt idx="15">
                  <c:v>138</c:v>
                </c:pt>
                <c:pt idx="16">
                  <c:v>143</c:v>
                </c:pt>
                <c:pt idx="17">
                  <c:v>150</c:v>
                </c:pt>
                <c:pt idx="18">
                  <c:v>165</c:v>
                </c:pt>
                <c:pt idx="19">
                  <c:v>197</c:v>
                </c:pt>
              </c:numCache>
            </c:numRef>
          </c:yVal>
          <c:smooth val="1"/>
          <c:extLst>
            <c:ext xmlns:c16="http://schemas.microsoft.com/office/drawing/2014/chart" uri="{C3380CC4-5D6E-409C-BE32-E72D297353CC}">
              <c16:uniqueId val="{00000005-43C0-4405-9A2D-04B10CAC947C}"/>
            </c:ext>
          </c:extLst>
        </c:ser>
        <c:ser>
          <c:idx val="17"/>
          <c:order val="6"/>
          <c:spPr>
            <a:ln w="19050">
              <a:solidFill>
                <a:schemeClr val="tx1"/>
              </a:solidFill>
            </a:ln>
          </c:spPr>
          <c:marker>
            <c:symbol val="none"/>
          </c:marker>
          <c:xVal>
            <c:numRef>
              <c:f>'Daten und Kennfelder'!$N$45:$N$73</c:f>
              <c:numCache>
                <c:formatCode>0\ "1/min"</c:formatCode>
                <c:ptCount val="29"/>
                <c:pt idx="0">
                  <c:v>800</c:v>
                </c:pt>
                <c:pt idx="1">
                  <c:v>1000</c:v>
                </c:pt>
                <c:pt idx="2">
                  <c:v>1200</c:v>
                </c:pt>
                <c:pt idx="3">
                  <c:v>1400</c:v>
                </c:pt>
                <c:pt idx="4">
                  <c:v>1600</c:v>
                </c:pt>
                <c:pt idx="5">
                  <c:v>1800</c:v>
                </c:pt>
                <c:pt idx="6">
                  <c:v>2000</c:v>
                </c:pt>
                <c:pt idx="7">
                  <c:v>2200</c:v>
                </c:pt>
                <c:pt idx="8">
                  <c:v>2400</c:v>
                </c:pt>
                <c:pt idx="9">
                  <c:v>2600</c:v>
                </c:pt>
                <c:pt idx="10">
                  <c:v>2800</c:v>
                </c:pt>
                <c:pt idx="11">
                  <c:v>3000</c:v>
                </c:pt>
                <c:pt idx="12">
                  <c:v>3200</c:v>
                </c:pt>
                <c:pt idx="13">
                  <c:v>3400</c:v>
                </c:pt>
                <c:pt idx="14">
                  <c:v>3600</c:v>
                </c:pt>
                <c:pt idx="15">
                  <c:v>3800</c:v>
                </c:pt>
                <c:pt idx="16">
                  <c:v>4000</c:v>
                </c:pt>
                <c:pt idx="17">
                  <c:v>4200</c:v>
                </c:pt>
                <c:pt idx="18">
                  <c:v>4400</c:v>
                </c:pt>
                <c:pt idx="19">
                  <c:v>4600</c:v>
                </c:pt>
                <c:pt idx="20">
                  <c:v>4800</c:v>
                </c:pt>
                <c:pt idx="21">
                  <c:v>5000</c:v>
                </c:pt>
                <c:pt idx="22">
                  <c:v>5200</c:v>
                </c:pt>
                <c:pt idx="23">
                  <c:v>5400</c:v>
                </c:pt>
                <c:pt idx="24">
                  <c:v>5600</c:v>
                </c:pt>
                <c:pt idx="25">
                  <c:v>5800</c:v>
                </c:pt>
                <c:pt idx="26">
                  <c:v>6000</c:v>
                </c:pt>
                <c:pt idx="27">
                  <c:v>6200</c:v>
                </c:pt>
                <c:pt idx="28">
                  <c:v>6400</c:v>
                </c:pt>
              </c:numCache>
            </c:numRef>
          </c:xVal>
          <c:yVal>
            <c:numRef>
              <c:f>'Daten und Kennfelder'!$T$45:$T$73</c:f>
              <c:numCache>
                <c:formatCode>General</c:formatCode>
                <c:ptCount val="29"/>
                <c:pt idx="0">
                  <c:v>120</c:v>
                </c:pt>
                <c:pt idx="1">
                  <c:v>110</c:v>
                </c:pt>
                <c:pt idx="2">
                  <c:v>105</c:v>
                </c:pt>
                <c:pt idx="3">
                  <c:v>102</c:v>
                </c:pt>
                <c:pt idx="4">
                  <c:v>99</c:v>
                </c:pt>
                <c:pt idx="5">
                  <c:v>97</c:v>
                </c:pt>
                <c:pt idx="6">
                  <c:v>95</c:v>
                </c:pt>
                <c:pt idx="7">
                  <c:v>93</c:v>
                </c:pt>
                <c:pt idx="8">
                  <c:v>91</c:v>
                </c:pt>
                <c:pt idx="9">
                  <c:v>90</c:v>
                </c:pt>
                <c:pt idx="10">
                  <c:v>90</c:v>
                </c:pt>
                <c:pt idx="11">
                  <c:v>91</c:v>
                </c:pt>
                <c:pt idx="12">
                  <c:v>92</c:v>
                </c:pt>
                <c:pt idx="13">
                  <c:v>93</c:v>
                </c:pt>
                <c:pt idx="14">
                  <c:v>94</c:v>
                </c:pt>
                <c:pt idx="15">
                  <c:v>96</c:v>
                </c:pt>
                <c:pt idx="16">
                  <c:v>98</c:v>
                </c:pt>
                <c:pt idx="17">
                  <c:v>100</c:v>
                </c:pt>
                <c:pt idx="18">
                  <c:v>104</c:v>
                </c:pt>
                <c:pt idx="19">
                  <c:v>110</c:v>
                </c:pt>
                <c:pt idx="20">
                  <c:v>115</c:v>
                </c:pt>
                <c:pt idx="21">
                  <c:v>125</c:v>
                </c:pt>
                <c:pt idx="22">
                  <c:v>135</c:v>
                </c:pt>
                <c:pt idx="23">
                  <c:v>150</c:v>
                </c:pt>
                <c:pt idx="24">
                  <c:v>190</c:v>
                </c:pt>
              </c:numCache>
            </c:numRef>
          </c:yVal>
          <c:smooth val="1"/>
          <c:extLst>
            <c:ext xmlns:c16="http://schemas.microsoft.com/office/drawing/2014/chart" uri="{C3380CC4-5D6E-409C-BE32-E72D297353CC}">
              <c16:uniqueId val="{00000006-43C0-4405-9A2D-04B10CAC947C}"/>
            </c:ext>
          </c:extLst>
        </c:ser>
        <c:ser>
          <c:idx val="18"/>
          <c:order val="7"/>
          <c:spPr>
            <a:ln w="19050">
              <a:solidFill>
                <a:schemeClr val="tx1"/>
              </a:solidFill>
            </a:ln>
          </c:spPr>
          <c:marker>
            <c:symbol val="none"/>
          </c:marker>
          <c:xVal>
            <c:numRef>
              <c:f>'Daten und Kennfelder'!$N$45:$N$75</c:f>
              <c:numCache>
                <c:formatCode>0\ "1/min"</c:formatCode>
                <c:ptCount val="31"/>
                <c:pt idx="0">
                  <c:v>800</c:v>
                </c:pt>
                <c:pt idx="1">
                  <c:v>1000</c:v>
                </c:pt>
                <c:pt idx="2">
                  <c:v>1200</c:v>
                </c:pt>
                <c:pt idx="3">
                  <c:v>1400</c:v>
                </c:pt>
                <c:pt idx="4">
                  <c:v>1600</c:v>
                </c:pt>
                <c:pt idx="5">
                  <c:v>1800</c:v>
                </c:pt>
                <c:pt idx="6">
                  <c:v>2000</c:v>
                </c:pt>
                <c:pt idx="7">
                  <c:v>2200</c:v>
                </c:pt>
                <c:pt idx="8">
                  <c:v>2400</c:v>
                </c:pt>
                <c:pt idx="9">
                  <c:v>2600</c:v>
                </c:pt>
                <c:pt idx="10">
                  <c:v>2800</c:v>
                </c:pt>
                <c:pt idx="11">
                  <c:v>3000</c:v>
                </c:pt>
                <c:pt idx="12">
                  <c:v>3200</c:v>
                </c:pt>
                <c:pt idx="13">
                  <c:v>3400</c:v>
                </c:pt>
                <c:pt idx="14">
                  <c:v>3600</c:v>
                </c:pt>
                <c:pt idx="15">
                  <c:v>3800</c:v>
                </c:pt>
                <c:pt idx="16">
                  <c:v>4000</c:v>
                </c:pt>
                <c:pt idx="17">
                  <c:v>4200</c:v>
                </c:pt>
                <c:pt idx="18">
                  <c:v>4400</c:v>
                </c:pt>
                <c:pt idx="19">
                  <c:v>4600</c:v>
                </c:pt>
                <c:pt idx="20">
                  <c:v>4800</c:v>
                </c:pt>
                <c:pt idx="21">
                  <c:v>5000</c:v>
                </c:pt>
                <c:pt idx="22">
                  <c:v>5200</c:v>
                </c:pt>
                <c:pt idx="23">
                  <c:v>5400</c:v>
                </c:pt>
                <c:pt idx="24">
                  <c:v>5600</c:v>
                </c:pt>
                <c:pt idx="25">
                  <c:v>5800</c:v>
                </c:pt>
                <c:pt idx="26">
                  <c:v>6000</c:v>
                </c:pt>
                <c:pt idx="27">
                  <c:v>6200</c:v>
                </c:pt>
                <c:pt idx="28">
                  <c:v>6400</c:v>
                </c:pt>
                <c:pt idx="29">
                  <c:v>6500</c:v>
                </c:pt>
              </c:numCache>
            </c:numRef>
          </c:xVal>
          <c:yVal>
            <c:numRef>
              <c:f>'Daten und Kennfelder'!$U$45:$U$75</c:f>
              <c:numCache>
                <c:formatCode>General</c:formatCode>
                <c:ptCount val="31"/>
                <c:pt idx="0">
                  <c:v>85</c:v>
                </c:pt>
                <c:pt idx="1">
                  <c:v>79</c:v>
                </c:pt>
                <c:pt idx="2">
                  <c:v>75</c:v>
                </c:pt>
                <c:pt idx="3">
                  <c:v>72</c:v>
                </c:pt>
                <c:pt idx="4">
                  <c:v>71</c:v>
                </c:pt>
                <c:pt idx="5">
                  <c:v>70</c:v>
                </c:pt>
                <c:pt idx="6">
                  <c:v>69</c:v>
                </c:pt>
                <c:pt idx="7">
                  <c:v>68</c:v>
                </c:pt>
                <c:pt idx="8">
                  <c:v>67</c:v>
                </c:pt>
                <c:pt idx="9">
                  <c:v>66</c:v>
                </c:pt>
                <c:pt idx="10">
                  <c:v>65</c:v>
                </c:pt>
                <c:pt idx="11">
                  <c:v>65</c:v>
                </c:pt>
                <c:pt idx="12">
                  <c:v>66</c:v>
                </c:pt>
                <c:pt idx="13">
                  <c:v>66</c:v>
                </c:pt>
                <c:pt idx="14">
                  <c:v>67</c:v>
                </c:pt>
                <c:pt idx="15">
                  <c:v>69</c:v>
                </c:pt>
                <c:pt idx="16">
                  <c:v>71</c:v>
                </c:pt>
                <c:pt idx="17">
                  <c:v>73</c:v>
                </c:pt>
                <c:pt idx="18">
                  <c:v>76</c:v>
                </c:pt>
                <c:pt idx="19">
                  <c:v>79</c:v>
                </c:pt>
                <c:pt idx="20">
                  <c:v>83</c:v>
                </c:pt>
                <c:pt idx="21">
                  <c:v>87</c:v>
                </c:pt>
                <c:pt idx="22">
                  <c:v>92</c:v>
                </c:pt>
                <c:pt idx="23">
                  <c:v>98</c:v>
                </c:pt>
                <c:pt idx="24">
                  <c:v>105</c:v>
                </c:pt>
                <c:pt idx="25">
                  <c:v>117</c:v>
                </c:pt>
                <c:pt idx="26">
                  <c:v>135</c:v>
                </c:pt>
                <c:pt idx="27">
                  <c:v>160</c:v>
                </c:pt>
              </c:numCache>
            </c:numRef>
          </c:yVal>
          <c:smooth val="1"/>
          <c:extLst>
            <c:ext xmlns:c16="http://schemas.microsoft.com/office/drawing/2014/chart" uri="{C3380CC4-5D6E-409C-BE32-E72D297353CC}">
              <c16:uniqueId val="{00000007-43C0-4405-9A2D-04B10CAC947C}"/>
            </c:ext>
          </c:extLst>
        </c:ser>
        <c:ser>
          <c:idx val="19"/>
          <c:order val="8"/>
          <c:spPr>
            <a:ln w="19050">
              <a:solidFill>
                <a:schemeClr val="tx1"/>
              </a:solidFill>
            </a:ln>
          </c:spPr>
          <c:marker>
            <c:symbol val="none"/>
          </c:marker>
          <c:xVal>
            <c:numRef>
              <c:f>'Daten und Kennfelder'!$N$45:$N$74</c:f>
              <c:numCache>
                <c:formatCode>0\ "1/min"</c:formatCode>
                <c:ptCount val="30"/>
                <c:pt idx="0">
                  <c:v>800</c:v>
                </c:pt>
                <c:pt idx="1">
                  <c:v>1000</c:v>
                </c:pt>
                <c:pt idx="2">
                  <c:v>1200</c:v>
                </c:pt>
                <c:pt idx="3">
                  <c:v>1400</c:v>
                </c:pt>
                <c:pt idx="4">
                  <c:v>1600</c:v>
                </c:pt>
                <c:pt idx="5">
                  <c:v>1800</c:v>
                </c:pt>
                <c:pt idx="6">
                  <c:v>2000</c:v>
                </c:pt>
                <c:pt idx="7">
                  <c:v>2200</c:v>
                </c:pt>
                <c:pt idx="8">
                  <c:v>2400</c:v>
                </c:pt>
                <c:pt idx="9">
                  <c:v>2600</c:v>
                </c:pt>
                <c:pt idx="10">
                  <c:v>2800</c:v>
                </c:pt>
                <c:pt idx="11">
                  <c:v>3000</c:v>
                </c:pt>
                <c:pt idx="12">
                  <c:v>3200</c:v>
                </c:pt>
                <c:pt idx="13">
                  <c:v>3400</c:v>
                </c:pt>
                <c:pt idx="14">
                  <c:v>3600</c:v>
                </c:pt>
                <c:pt idx="15">
                  <c:v>3800</c:v>
                </c:pt>
                <c:pt idx="16">
                  <c:v>4000</c:v>
                </c:pt>
                <c:pt idx="17">
                  <c:v>4200</c:v>
                </c:pt>
                <c:pt idx="18">
                  <c:v>4400</c:v>
                </c:pt>
                <c:pt idx="19">
                  <c:v>4600</c:v>
                </c:pt>
                <c:pt idx="20">
                  <c:v>4800</c:v>
                </c:pt>
                <c:pt idx="21">
                  <c:v>5000</c:v>
                </c:pt>
                <c:pt idx="22">
                  <c:v>5200</c:v>
                </c:pt>
                <c:pt idx="23">
                  <c:v>5400</c:v>
                </c:pt>
                <c:pt idx="24">
                  <c:v>5600</c:v>
                </c:pt>
                <c:pt idx="25">
                  <c:v>5800</c:v>
                </c:pt>
                <c:pt idx="26">
                  <c:v>6000</c:v>
                </c:pt>
                <c:pt idx="27">
                  <c:v>6200</c:v>
                </c:pt>
                <c:pt idx="28">
                  <c:v>6400</c:v>
                </c:pt>
                <c:pt idx="29">
                  <c:v>6500</c:v>
                </c:pt>
              </c:numCache>
            </c:numRef>
          </c:xVal>
          <c:yVal>
            <c:numRef>
              <c:f>'Daten und Kennfelder'!$V$45:$V$74</c:f>
              <c:numCache>
                <c:formatCode>General</c:formatCode>
                <c:ptCount val="30"/>
                <c:pt idx="0">
                  <c:v>52</c:v>
                </c:pt>
                <c:pt idx="1">
                  <c:v>50</c:v>
                </c:pt>
                <c:pt idx="2">
                  <c:v>47</c:v>
                </c:pt>
                <c:pt idx="3">
                  <c:v>46</c:v>
                </c:pt>
                <c:pt idx="4">
                  <c:v>45</c:v>
                </c:pt>
                <c:pt idx="5">
                  <c:v>44</c:v>
                </c:pt>
                <c:pt idx="6">
                  <c:v>43</c:v>
                </c:pt>
                <c:pt idx="7">
                  <c:v>42</c:v>
                </c:pt>
                <c:pt idx="8">
                  <c:v>41</c:v>
                </c:pt>
                <c:pt idx="9">
                  <c:v>41</c:v>
                </c:pt>
                <c:pt idx="10">
                  <c:v>40</c:v>
                </c:pt>
                <c:pt idx="11">
                  <c:v>40</c:v>
                </c:pt>
                <c:pt idx="12">
                  <c:v>41</c:v>
                </c:pt>
                <c:pt idx="13">
                  <c:v>41</c:v>
                </c:pt>
                <c:pt idx="14">
                  <c:v>41</c:v>
                </c:pt>
                <c:pt idx="15">
                  <c:v>42</c:v>
                </c:pt>
                <c:pt idx="16">
                  <c:v>43</c:v>
                </c:pt>
                <c:pt idx="17">
                  <c:v>44</c:v>
                </c:pt>
                <c:pt idx="18">
                  <c:v>45</c:v>
                </c:pt>
                <c:pt idx="19">
                  <c:v>46</c:v>
                </c:pt>
                <c:pt idx="20">
                  <c:v>47</c:v>
                </c:pt>
                <c:pt idx="21">
                  <c:v>49</c:v>
                </c:pt>
                <c:pt idx="22">
                  <c:v>52</c:v>
                </c:pt>
                <c:pt idx="23">
                  <c:v>53</c:v>
                </c:pt>
                <c:pt idx="24">
                  <c:v>56</c:v>
                </c:pt>
                <c:pt idx="25">
                  <c:v>59</c:v>
                </c:pt>
                <c:pt idx="26">
                  <c:v>62</c:v>
                </c:pt>
                <c:pt idx="27">
                  <c:v>67</c:v>
                </c:pt>
                <c:pt idx="28">
                  <c:v>72</c:v>
                </c:pt>
                <c:pt idx="29">
                  <c:v>79</c:v>
                </c:pt>
              </c:numCache>
            </c:numRef>
          </c:yVal>
          <c:smooth val="1"/>
          <c:extLst>
            <c:ext xmlns:c16="http://schemas.microsoft.com/office/drawing/2014/chart" uri="{C3380CC4-5D6E-409C-BE32-E72D297353CC}">
              <c16:uniqueId val="{00000008-43C0-4405-9A2D-04B10CAC947C}"/>
            </c:ext>
          </c:extLst>
        </c:ser>
        <c:ser>
          <c:idx val="21"/>
          <c:order val="9"/>
          <c:tx>
            <c:v>Betriebspunkt 100</c:v>
          </c:tx>
          <c:spPr>
            <a:ln>
              <a:noFill/>
            </a:ln>
          </c:spPr>
          <c:marker>
            <c:symbol val="diamond"/>
            <c:size val="14"/>
            <c:spPr>
              <a:solidFill>
                <a:schemeClr val="tx2">
                  <a:lumMod val="60000"/>
                  <a:lumOff val="40000"/>
                </a:schemeClr>
              </a:solidFill>
              <a:ln>
                <a:noFill/>
              </a:ln>
            </c:spPr>
          </c:marker>
          <c:xVal>
            <c:numRef>
              <c:f>'4 Fahrleistung'!$B$15</c:f>
              <c:numCache>
                <c:formatCode>0.0\ "1/min"</c:formatCode>
                <c:ptCount val="1"/>
                <c:pt idx="0">
                  <c:v>4252.2135105798807</c:v>
                </c:pt>
              </c:numCache>
            </c:numRef>
          </c:xVal>
          <c:yVal>
            <c:numRef>
              <c:f>'4 Fahrleistung'!$B$14</c:f>
              <c:numCache>
                <c:formatCode>0.0\ "Nm"</c:formatCode>
                <c:ptCount val="1"/>
                <c:pt idx="0">
                  <c:v>30.214648420086874</c:v>
                </c:pt>
              </c:numCache>
            </c:numRef>
          </c:yVal>
          <c:smooth val="1"/>
          <c:extLst>
            <c:ext xmlns:c16="http://schemas.microsoft.com/office/drawing/2014/chart" uri="{C3380CC4-5D6E-409C-BE32-E72D297353CC}">
              <c16:uniqueId val="{00000003-CF54-4602-84A8-A9FA17D82B31}"/>
            </c:ext>
          </c:extLst>
        </c:ser>
        <c:ser>
          <c:idx val="0"/>
          <c:order val="10"/>
          <c:tx>
            <c:strRef>
              <c:f>'3 Kraftstoff'!$D$17</c:f>
              <c:strCache>
                <c:ptCount val="1"/>
                <c:pt idx="0">
                  <c:v>43,0 kW</c:v>
                </c:pt>
              </c:strCache>
            </c:strRef>
          </c:tx>
          <c:marker>
            <c:symbol val="none"/>
          </c:marker>
          <c:xVal>
            <c:numRef>
              <c:f>'3 Kraftstoff'!$B$18:$B$21</c:f>
              <c:numCache>
                <c:formatCode>0\ "1/min"</c:formatCode>
                <c:ptCount val="4"/>
                <c:pt idx="0">
                  <c:v>2250</c:v>
                </c:pt>
                <c:pt idx="1">
                  <c:v>3000</c:v>
                </c:pt>
                <c:pt idx="2">
                  <c:v>4500</c:v>
                </c:pt>
                <c:pt idx="3">
                  <c:v>6000</c:v>
                </c:pt>
              </c:numCache>
            </c:numRef>
          </c:xVal>
          <c:yVal>
            <c:numRef>
              <c:f>'3 Kraftstoff'!$D$18:$D$21</c:f>
              <c:numCache>
                <c:formatCode>0.0\ "Nm"</c:formatCode>
                <c:ptCount val="4"/>
                <c:pt idx="0">
                  <c:v>182.61342394204576</c:v>
                </c:pt>
                <c:pt idx="1">
                  <c:v>136.96006795653432</c:v>
                </c:pt>
                <c:pt idx="2">
                  <c:v>91.306711971022878</c:v>
                </c:pt>
                <c:pt idx="3">
                  <c:v>68.480033978267159</c:v>
                </c:pt>
              </c:numCache>
            </c:numRef>
          </c:yVal>
          <c:smooth val="1"/>
          <c:extLst>
            <c:ext xmlns:c16="http://schemas.microsoft.com/office/drawing/2014/chart" uri="{C3380CC4-5D6E-409C-BE32-E72D297353CC}">
              <c16:uniqueId val="{00000001-E4B6-4A6D-B34F-56767769EC02}"/>
            </c:ext>
          </c:extLst>
        </c:ser>
        <c:ser>
          <c:idx val="1"/>
          <c:order val="11"/>
          <c:tx>
            <c:strRef>
              <c:f>'3 Kraftstoff'!$C$17</c:f>
              <c:strCache>
                <c:ptCount val="1"/>
                <c:pt idx="0">
                  <c:v>50,0 kW</c:v>
                </c:pt>
              </c:strCache>
            </c:strRef>
          </c:tx>
          <c:marker>
            <c:symbol val="none"/>
          </c:marker>
          <c:xVal>
            <c:numRef>
              <c:f>'3 Kraftstoff'!$B$18:$B$21</c:f>
              <c:numCache>
                <c:formatCode>0\ "1/min"</c:formatCode>
                <c:ptCount val="4"/>
                <c:pt idx="0">
                  <c:v>2250</c:v>
                </c:pt>
                <c:pt idx="1">
                  <c:v>3000</c:v>
                </c:pt>
                <c:pt idx="2">
                  <c:v>4500</c:v>
                </c:pt>
                <c:pt idx="3">
                  <c:v>6000</c:v>
                </c:pt>
              </c:numCache>
            </c:numRef>
          </c:xVal>
          <c:yVal>
            <c:numRef>
              <c:f>'3 Kraftstoff'!$C$18:$C$21</c:f>
              <c:numCache>
                <c:formatCode>0.0\ "Nm"</c:formatCode>
                <c:ptCount val="4"/>
                <c:pt idx="0">
                  <c:v>212.31111111111113</c:v>
                </c:pt>
                <c:pt idx="1">
                  <c:v>159.23333333333332</c:v>
                </c:pt>
                <c:pt idx="2">
                  <c:v>106.15555555555557</c:v>
                </c:pt>
                <c:pt idx="3">
                  <c:v>79.61666666666666</c:v>
                </c:pt>
              </c:numCache>
            </c:numRef>
          </c:yVal>
          <c:smooth val="1"/>
          <c:extLst>
            <c:ext xmlns:c16="http://schemas.microsoft.com/office/drawing/2014/chart" uri="{C3380CC4-5D6E-409C-BE32-E72D297353CC}">
              <c16:uniqueId val="{00000002-E4B6-4A6D-B34F-56767769EC02}"/>
            </c:ext>
          </c:extLst>
        </c:ser>
        <c:ser>
          <c:idx val="2"/>
          <c:order val="12"/>
          <c:tx>
            <c:v>Betriebspunkt</c:v>
          </c:tx>
          <c:spPr>
            <a:ln>
              <a:noFill/>
            </a:ln>
          </c:spPr>
          <c:marker>
            <c:symbol val="circle"/>
            <c:size val="12"/>
            <c:spPr>
              <a:solidFill>
                <a:srgbClr val="FF0000">
                  <a:alpha val="92000"/>
                </a:srgbClr>
              </a:solidFill>
              <a:ln>
                <a:solidFill>
                  <a:schemeClr val="accent1">
                    <a:alpha val="96000"/>
                  </a:schemeClr>
                </a:solidFill>
              </a:ln>
            </c:spPr>
          </c:marker>
          <c:xVal>
            <c:numRef>
              <c:f>'3 Kraftstoff'!$D$32</c:f>
              <c:numCache>
                <c:formatCode>0\ "1/min"</c:formatCode>
                <c:ptCount val="1"/>
                <c:pt idx="0">
                  <c:v>3141.4124483182482</c:v>
                </c:pt>
              </c:numCache>
            </c:numRef>
          </c:xVal>
          <c:yVal>
            <c:numRef>
              <c:f>'3 Kraftstoff'!$B$34</c:f>
              <c:numCache>
                <c:formatCode>0.0\ "Nm"</c:formatCode>
                <c:ptCount val="1"/>
                <c:pt idx="0">
                  <c:v>130.79473346123885</c:v>
                </c:pt>
              </c:numCache>
            </c:numRef>
          </c:yVal>
          <c:smooth val="1"/>
          <c:extLst>
            <c:ext xmlns:c16="http://schemas.microsoft.com/office/drawing/2014/chart" uri="{C3380CC4-5D6E-409C-BE32-E72D297353CC}">
              <c16:uniqueId val="{00000003-E4B6-4A6D-B34F-56767769EC02}"/>
            </c:ext>
          </c:extLst>
        </c:ser>
        <c:ser>
          <c:idx val="3"/>
          <c:order val="13"/>
          <c:tx>
            <c:v>Ersatz-Betriebspunkt</c:v>
          </c:tx>
          <c:marker>
            <c:symbol val="square"/>
            <c:size val="12"/>
            <c:spPr>
              <a:solidFill>
                <a:srgbClr val="FFFF00"/>
              </a:solidFill>
            </c:spPr>
          </c:marker>
          <c:xVal>
            <c:numRef>
              <c:f>'3 Kraftstoff'!$D$33</c:f>
              <c:numCache>
                <c:formatCode>0\ "1/min"</c:formatCode>
                <c:ptCount val="1"/>
                <c:pt idx="0">
                  <c:v>3328.6889596602969</c:v>
                </c:pt>
              </c:numCache>
            </c:numRef>
          </c:xVal>
          <c:yVal>
            <c:numRef>
              <c:f>'3 Kraftstoff'!$B$35</c:f>
              <c:numCache>
                <c:formatCode>0.0\ "Nm"</c:formatCode>
                <c:ptCount val="1"/>
                <c:pt idx="0">
                  <c:v>143.43484951166036</c:v>
                </c:pt>
              </c:numCache>
            </c:numRef>
          </c:yVal>
          <c:smooth val="1"/>
          <c:extLst>
            <c:ext xmlns:c16="http://schemas.microsoft.com/office/drawing/2014/chart" uri="{C3380CC4-5D6E-409C-BE32-E72D297353CC}">
              <c16:uniqueId val="{00000004-E4B6-4A6D-B34F-56767769EC02}"/>
            </c:ext>
          </c:extLst>
        </c:ser>
        <c:dLbls>
          <c:showLegendKey val="0"/>
          <c:showVal val="0"/>
          <c:showCatName val="0"/>
          <c:showSerName val="0"/>
          <c:showPercent val="0"/>
          <c:showBubbleSize val="0"/>
        </c:dLbls>
        <c:axId val="229717888"/>
        <c:axId val="236864256"/>
      </c:scatterChart>
      <c:valAx>
        <c:axId val="229717888"/>
        <c:scaling>
          <c:orientation val="minMax"/>
          <c:max val="6400"/>
          <c:min val="1000"/>
        </c:scaling>
        <c:delete val="0"/>
        <c:axPos val="b"/>
        <c:majorGridlines>
          <c:spPr>
            <a:ln w="12700">
              <a:solidFill>
                <a:schemeClr val="tx1"/>
              </a:solidFill>
            </a:ln>
          </c:spPr>
        </c:majorGridlines>
        <c:minorGridlines>
          <c:spPr>
            <a:ln w="6350">
              <a:solidFill>
                <a:schemeClr val="tx1"/>
              </a:solidFill>
            </a:ln>
          </c:spPr>
        </c:minorGridlines>
        <c:title>
          <c:tx>
            <c:rich>
              <a:bodyPr/>
              <a:lstStyle/>
              <a:p>
                <a:pPr>
                  <a:defRPr/>
                </a:pPr>
                <a:r>
                  <a:rPr lang="de-DE"/>
                  <a:t>Motordrehzahl</a:t>
                </a:r>
                <a:r>
                  <a:rPr lang="de-DE" baseline="0"/>
                  <a:t> [1/min]</a:t>
                </a:r>
                <a:endParaRPr lang="de-DE"/>
              </a:p>
            </c:rich>
          </c:tx>
          <c:layout>
            <c:manualLayout>
              <c:xMode val="edge"/>
              <c:yMode val="edge"/>
              <c:x val="0.39035662619606876"/>
              <c:y val="0.95922612093161064"/>
            </c:manualLayout>
          </c:layout>
          <c:overlay val="0"/>
        </c:title>
        <c:numFmt formatCode="#,##0" sourceLinked="0"/>
        <c:majorTickMark val="out"/>
        <c:minorTickMark val="in"/>
        <c:tickLblPos val="nextTo"/>
        <c:txPr>
          <a:bodyPr rot="-5400000" vert="horz"/>
          <a:lstStyle/>
          <a:p>
            <a:pPr>
              <a:defRPr/>
            </a:pPr>
            <a:endParaRPr lang="de-DE"/>
          </a:p>
        </c:txPr>
        <c:crossAx val="236864256"/>
        <c:crosses val="autoZero"/>
        <c:crossBetween val="midCat"/>
        <c:majorUnit val="500"/>
        <c:minorUnit val="250"/>
      </c:valAx>
      <c:valAx>
        <c:axId val="236864256"/>
        <c:scaling>
          <c:orientation val="minMax"/>
          <c:max val="220"/>
          <c:min val="0"/>
        </c:scaling>
        <c:delete val="0"/>
        <c:axPos val="l"/>
        <c:majorGridlines>
          <c:spPr>
            <a:ln w="12700">
              <a:solidFill>
                <a:schemeClr val="tx1"/>
              </a:solidFill>
            </a:ln>
          </c:spPr>
        </c:majorGridlines>
        <c:minorGridlines>
          <c:spPr>
            <a:ln w="6350">
              <a:solidFill>
                <a:schemeClr val="tx1"/>
              </a:solidFill>
            </a:ln>
          </c:spPr>
        </c:minorGridlines>
        <c:title>
          <c:tx>
            <c:rich>
              <a:bodyPr/>
              <a:lstStyle/>
              <a:p>
                <a:pPr>
                  <a:defRPr/>
                </a:pPr>
                <a:r>
                  <a:rPr lang="de-DE"/>
                  <a:t>Motormoment</a:t>
                </a:r>
              </a:p>
            </c:rich>
          </c:tx>
          <c:overlay val="0"/>
        </c:title>
        <c:numFmt formatCode="0\ &quot;Nm&quot;" sourceLinked="1"/>
        <c:majorTickMark val="out"/>
        <c:minorTickMark val="in"/>
        <c:tickLblPos val="nextTo"/>
        <c:crossAx val="229717888"/>
        <c:crossesAt val="800"/>
        <c:crossBetween val="midCat"/>
        <c:majorUnit val="20"/>
        <c:minorUnit val="10"/>
      </c:valAx>
    </c:plotArea>
    <c:legend>
      <c:legendPos val="r"/>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ayout>
        <c:manualLayout>
          <c:xMode val="edge"/>
          <c:yMode val="edge"/>
          <c:x val="0.78316628677065214"/>
          <c:y val="0.67797392824739566"/>
          <c:w val="0.16509964965130908"/>
          <c:h val="0.21053143634003529"/>
        </c:manualLayout>
      </c:layout>
      <c:overlay val="1"/>
      <c:spPr>
        <a:solidFill>
          <a:schemeClr val="bg1"/>
        </a:solidFill>
        <a:ln>
          <a:solidFill>
            <a:schemeClr val="tx1"/>
          </a:solidFill>
        </a:ln>
      </c:spPr>
      <c:txPr>
        <a:bodyPr/>
        <a:lstStyle/>
        <a:p>
          <a:pPr>
            <a:defRPr sz="1200"/>
          </a:pPr>
          <a:endParaRPr lang="de-DE"/>
        </a:p>
      </c:txPr>
    </c:legend>
    <c:plotVisOnly val="1"/>
    <c:dispBlanksAs val="gap"/>
    <c:showDLblsOverMax val="0"/>
  </c:chart>
  <c:printSettings>
    <c:headerFooter/>
    <c:pageMargins b="0.78740157499999996" l="0.7" r="0.7" t="0.78740157499999996" header="0.3" footer="0.3"/>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'Daten und Kennfelder'!$G$8:$G$13</c:f>
              <c:numCache>
                <c:formatCode>0\ "1/min"</c:formatCode>
                <c:ptCount val="6"/>
                <c:pt idx="0">
                  <c:v>900</c:v>
                </c:pt>
                <c:pt idx="1">
                  <c:v>1500</c:v>
                </c:pt>
                <c:pt idx="2">
                  <c:v>3000</c:v>
                </c:pt>
                <c:pt idx="3">
                  <c:v>4800</c:v>
                </c:pt>
                <c:pt idx="4">
                  <c:v>5500</c:v>
                </c:pt>
                <c:pt idx="5">
                  <c:v>6100</c:v>
                </c:pt>
              </c:numCache>
            </c:numRef>
          </c:xVal>
          <c:yVal>
            <c:numRef>
              <c:f>'Daten und Kennfelder'!$H$8:$H$13</c:f>
              <c:numCache>
                <c:formatCode>0\ "Nm"</c:formatCode>
                <c:ptCount val="6"/>
                <c:pt idx="0">
                  <c:v>120</c:v>
                </c:pt>
                <c:pt idx="1">
                  <c:v>165</c:v>
                </c:pt>
                <c:pt idx="2">
                  <c:v>198</c:v>
                </c:pt>
                <c:pt idx="3">
                  <c:v>200</c:v>
                </c:pt>
                <c:pt idx="4">
                  <c:v>193</c:v>
                </c:pt>
                <c:pt idx="5">
                  <c:v>160</c:v>
                </c:pt>
              </c:numCache>
            </c:numRef>
          </c:yVal>
          <c:smooth val="1"/>
          <c:extLst>
            <c:ext xmlns:c16="http://schemas.microsoft.com/office/drawing/2014/chart" uri="{C3380CC4-5D6E-409C-BE32-E72D297353CC}">
              <c16:uniqueId val="{00000000-4C2A-4160-AF75-5BECF1607608}"/>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'Daten und Kennfelder'!#REF!</c:f>
            </c:numRef>
          </c:xVal>
          <c:yVal>
            <c:numRef>
              <c:f>'Daten und Kennfelder'!$L$11:$L$14</c:f>
              <c:numCache>
                <c:formatCode>General</c:formatCode>
                <c:ptCount val="4"/>
              </c:numCache>
            </c:numRef>
          </c:yVal>
          <c:smooth val="1"/>
          <c:extLst>
            <c:ext xmlns:c16="http://schemas.microsoft.com/office/drawing/2014/chart" uri="{C3380CC4-5D6E-409C-BE32-E72D297353CC}">
              <c16:uniqueId val="{00000002-4C2A-4160-AF75-5BECF1607608}"/>
            </c:ext>
          </c:extLst>
        </c:ser>
        <c:dLbls>
          <c:showLegendKey val="0"/>
          <c:showVal val="0"/>
          <c:showCatName val="0"/>
          <c:showSerName val="0"/>
          <c:showPercent val="0"/>
          <c:showBubbleSize val="0"/>
        </c:dLbls>
        <c:axId val="247476992"/>
        <c:axId val="247504896"/>
      </c:scatterChart>
      <c:scatterChart>
        <c:scatterStyle val="smoothMarker"/>
        <c:varyColors val="0"/>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'Daten und Kennfelder'!$G$8:$G$13</c:f>
              <c:numCache>
                <c:formatCode>0\ "1/min"</c:formatCode>
                <c:ptCount val="6"/>
                <c:pt idx="0">
                  <c:v>900</c:v>
                </c:pt>
                <c:pt idx="1">
                  <c:v>1500</c:v>
                </c:pt>
                <c:pt idx="2">
                  <c:v>3000</c:v>
                </c:pt>
                <c:pt idx="3">
                  <c:v>4800</c:v>
                </c:pt>
                <c:pt idx="4">
                  <c:v>5500</c:v>
                </c:pt>
                <c:pt idx="5">
                  <c:v>6100</c:v>
                </c:pt>
              </c:numCache>
            </c:numRef>
          </c:xVal>
          <c:yVal>
            <c:numRef>
              <c:f>'Daten und Kennfelder'!$I$8:$I$13</c:f>
              <c:numCache>
                <c:formatCode>0\ "kW"</c:formatCode>
                <c:ptCount val="6"/>
                <c:pt idx="0">
                  <c:v>11.304165794431652</c:v>
                </c:pt>
                <c:pt idx="1">
                  <c:v>25.905379945572534</c:v>
                </c:pt>
                <c:pt idx="2">
                  <c:v>62.172911869374083</c:v>
                </c:pt>
                <c:pt idx="3">
                  <c:v>100.48147372828134</c:v>
                </c:pt>
                <c:pt idx="4">
                  <c:v>111.10529621101109</c:v>
                </c:pt>
                <c:pt idx="5">
                  <c:v>102.15616495708603</c:v>
                </c:pt>
              </c:numCache>
            </c:numRef>
          </c:yVal>
          <c:smooth val="1"/>
          <c:extLst>
            <c:ext xmlns:c16="http://schemas.microsoft.com/office/drawing/2014/chart" uri="{C3380CC4-5D6E-409C-BE32-E72D297353CC}">
              <c16:uniqueId val="{00000001-4C2A-4160-AF75-5BECF1607608}"/>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'Daten und Kennfelder'!#REF!</c:f>
            </c:numRef>
          </c:xVal>
          <c:yVal>
            <c:numRef>
              <c:f>'Daten und Kennfelder'!$M$11:$M$14</c:f>
              <c:numCache>
                <c:formatCode>0.00</c:formatCode>
                <c:ptCount val="4"/>
              </c:numCache>
            </c:numRef>
          </c:yVal>
          <c:smooth val="1"/>
          <c:extLst>
            <c:ext xmlns:c16="http://schemas.microsoft.com/office/drawing/2014/chart" uri="{C3380CC4-5D6E-409C-BE32-E72D297353CC}">
              <c16:uniqueId val="{00000003-4C2A-4160-AF75-5BECF1607608}"/>
            </c:ext>
          </c:extLst>
        </c:ser>
        <c:dLbls>
          <c:showLegendKey val="0"/>
          <c:showVal val="0"/>
          <c:showCatName val="0"/>
          <c:showSerName val="0"/>
          <c:showPercent val="0"/>
          <c:showBubbleSize val="0"/>
        </c:dLbls>
        <c:axId val="258891776"/>
        <c:axId val="247506816"/>
      </c:scatterChart>
      <c:valAx>
        <c:axId val="2474769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47504896"/>
        <c:crosses val="autoZero"/>
        <c:crossBetween val="midCat"/>
      </c:valAx>
      <c:valAx>
        <c:axId val="247504896"/>
        <c:scaling>
          <c:orientation val="minMax"/>
        </c:scaling>
        <c:delete val="0"/>
        <c:axPos val="l"/>
        <c:majorGridlines>
          <c:spPr>
            <a:ln w="9525" cap="flat" cmpd="sng" algn="ctr">
              <a:solidFill>
                <a:schemeClr val="tx1">
                  <a:lumMod val="15000"/>
                  <a:lumOff val="85000"/>
                </a:schemeClr>
              </a:solidFill>
              <a:round/>
            </a:ln>
            <a:effectLst/>
          </c:spPr>
        </c:majorGridlines>
        <c:numFmt formatCode="0\ &quot;N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47476992"/>
        <c:crosses val="autoZero"/>
        <c:crossBetween val="midCat"/>
      </c:valAx>
      <c:valAx>
        <c:axId val="247506816"/>
        <c:scaling>
          <c:orientation val="minMax"/>
        </c:scaling>
        <c:delete val="0"/>
        <c:axPos val="r"/>
        <c:numFmt formatCode="0\ &quot;kW&quot;"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58891776"/>
        <c:crosses val="max"/>
        <c:crossBetween val="midCat"/>
      </c:valAx>
      <c:valAx>
        <c:axId val="258891776"/>
        <c:scaling>
          <c:orientation val="minMax"/>
        </c:scaling>
        <c:delete val="1"/>
        <c:axPos val="b"/>
        <c:numFmt formatCode="0\ &quot;1/min&quot;" sourceLinked="1"/>
        <c:majorTickMark val="out"/>
        <c:minorTickMark val="none"/>
        <c:tickLblPos val="nextTo"/>
        <c:crossAx val="2475068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Motorkennlinie</a:t>
            </a:r>
          </a:p>
        </c:rich>
      </c:tx>
      <c:overlay val="1"/>
    </c:title>
    <c:autoTitleDeleted val="0"/>
    <c:plotArea>
      <c:layout>
        <c:manualLayout>
          <c:layoutTarget val="inner"/>
          <c:xMode val="edge"/>
          <c:yMode val="edge"/>
          <c:x val="0.14497462817147858"/>
          <c:y val="0.13675202096841588"/>
          <c:w val="0.64520363079615051"/>
          <c:h val="0.72603864031351728"/>
        </c:manualLayout>
      </c:layout>
      <c:scatterChart>
        <c:scatterStyle val="smoothMarker"/>
        <c:varyColors val="0"/>
        <c:ser>
          <c:idx val="0"/>
          <c:order val="0"/>
          <c:tx>
            <c:strRef>
              <c:f>Getriebeauslegung!$C$1</c:f>
              <c:strCache>
                <c:ptCount val="1"/>
                <c:pt idx="0">
                  <c:v>P [kW]</c:v>
                </c:pt>
              </c:strCache>
            </c:strRef>
          </c:tx>
          <c:marker>
            <c:symbol val="none"/>
          </c:marker>
          <c:xVal>
            <c:numRef>
              <c:f>Getriebeauslegung!$B$2:$B$26</c:f>
              <c:numCache>
                <c:formatCode>General</c:formatCode>
                <c:ptCount val="25"/>
                <c:pt idx="0">
                  <c:v>1000</c:v>
                </c:pt>
                <c:pt idx="1">
                  <c:v>1200</c:v>
                </c:pt>
                <c:pt idx="2">
                  <c:v>1400</c:v>
                </c:pt>
                <c:pt idx="3">
                  <c:v>1600</c:v>
                </c:pt>
                <c:pt idx="4">
                  <c:v>1800</c:v>
                </c:pt>
                <c:pt idx="5">
                  <c:v>2000</c:v>
                </c:pt>
                <c:pt idx="6">
                  <c:v>2200</c:v>
                </c:pt>
                <c:pt idx="7">
                  <c:v>2400</c:v>
                </c:pt>
                <c:pt idx="8">
                  <c:v>2600</c:v>
                </c:pt>
                <c:pt idx="9">
                  <c:v>2800</c:v>
                </c:pt>
                <c:pt idx="10">
                  <c:v>3000</c:v>
                </c:pt>
                <c:pt idx="11">
                  <c:v>3200</c:v>
                </c:pt>
                <c:pt idx="12">
                  <c:v>3400</c:v>
                </c:pt>
                <c:pt idx="13">
                  <c:v>3600</c:v>
                </c:pt>
                <c:pt idx="14">
                  <c:v>3800</c:v>
                </c:pt>
                <c:pt idx="15">
                  <c:v>4000</c:v>
                </c:pt>
                <c:pt idx="16">
                  <c:v>4200</c:v>
                </c:pt>
                <c:pt idx="17">
                  <c:v>4400</c:v>
                </c:pt>
                <c:pt idx="18">
                  <c:v>4600</c:v>
                </c:pt>
                <c:pt idx="19">
                  <c:v>4800</c:v>
                </c:pt>
                <c:pt idx="20">
                  <c:v>5000</c:v>
                </c:pt>
                <c:pt idx="21">
                  <c:v>5200</c:v>
                </c:pt>
                <c:pt idx="22">
                  <c:v>5400</c:v>
                </c:pt>
                <c:pt idx="23">
                  <c:v>5600</c:v>
                </c:pt>
                <c:pt idx="24">
                  <c:v>5800</c:v>
                </c:pt>
              </c:numCache>
            </c:numRef>
          </c:xVal>
          <c:yVal>
            <c:numRef>
              <c:f>Getriebeauslegung!$C$2:$C$26</c:f>
              <c:numCache>
                <c:formatCode>General</c:formatCode>
                <c:ptCount val="25"/>
                <c:pt idx="0">
                  <c:v>3</c:v>
                </c:pt>
                <c:pt idx="1">
                  <c:v>10</c:v>
                </c:pt>
                <c:pt idx="2">
                  <c:v>17</c:v>
                </c:pt>
                <c:pt idx="3">
                  <c:v>24</c:v>
                </c:pt>
                <c:pt idx="4">
                  <c:v>30</c:v>
                </c:pt>
                <c:pt idx="5">
                  <c:v>36</c:v>
                </c:pt>
                <c:pt idx="6">
                  <c:v>42</c:v>
                </c:pt>
                <c:pt idx="7">
                  <c:v>48</c:v>
                </c:pt>
                <c:pt idx="8">
                  <c:v>54</c:v>
                </c:pt>
                <c:pt idx="9">
                  <c:v>60</c:v>
                </c:pt>
                <c:pt idx="10">
                  <c:v>66</c:v>
                </c:pt>
                <c:pt idx="11">
                  <c:v>72</c:v>
                </c:pt>
                <c:pt idx="12">
                  <c:v>78</c:v>
                </c:pt>
                <c:pt idx="13">
                  <c:v>83</c:v>
                </c:pt>
                <c:pt idx="14">
                  <c:v>87</c:v>
                </c:pt>
                <c:pt idx="15">
                  <c:v>91</c:v>
                </c:pt>
                <c:pt idx="16">
                  <c:v>94</c:v>
                </c:pt>
                <c:pt idx="17">
                  <c:v>97</c:v>
                </c:pt>
                <c:pt idx="18">
                  <c:v>99</c:v>
                </c:pt>
                <c:pt idx="19">
                  <c:v>100</c:v>
                </c:pt>
                <c:pt idx="20">
                  <c:v>99</c:v>
                </c:pt>
                <c:pt idx="21">
                  <c:v>98</c:v>
                </c:pt>
                <c:pt idx="22">
                  <c:v>96</c:v>
                </c:pt>
                <c:pt idx="23">
                  <c:v>94</c:v>
                </c:pt>
                <c:pt idx="24">
                  <c:v>90</c:v>
                </c:pt>
              </c:numCache>
            </c:numRef>
          </c:yVal>
          <c:smooth val="1"/>
          <c:extLst>
            <c:ext xmlns:c16="http://schemas.microsoft.com/office/drawing/2014/chart" uri="{C3380CC4-5D6E-409C-BE32-E72D297353CC}">
              <c16:uniqueId val="{00000000-1C43-4E62-B1B5-EB2A99B43C8A}"/>
            </c:ext>
          </c:extLst>
        </c:ser>
        <c:dLbls>
          <c:showLegendKey val="0"/>
          <c:showVal val="0"/>
          <c:showCatName val="0"/>
          <c:showSerName val="0"/>
          <c:showPercent val="0"/>
          <c:showBubbleSize val="0"/>
        </c:dLbls>
        <c:axId val="183729376"/>
        <c:axId val="183763936"/>
      </c:scatterChart>
      <c:scatterChart>
        <c:scatterStyle val="smoothMarker"/>
        <c:varyColors val="0"/>
        <c:ser>
          <c:idx val="1"/>
          <c:order val="1"/>
          <c:tx>
            <c:strRef>
              <c:f>Getriebeauslegung!$D$1</c:f>
              <c:strCache>
                <c:ptCount val="1"/>
                <c:pt idx="0">
                  <c:v>M [Nm]</c:v>
                </c:pt>
              </c:strCache>
            </c:strRef>
          </c:tx>
          <c:marker>
            <c:symbol val="none"/>
          </c:marker>
          <c:xVal>
            <c:numRef>
              <c:f>Getriebeauslegung!$B$2:$B$26</c:f>
              <c:numCache>
                <c:formatCode>General</c:formatCode>
                <c:ptCount val="25"/>
                <c:pt idx="0">
                  <c:v>1000</c:v>
                </c:pt>
                <c:pt idx="1">
                  <c:v>1200</c:v>
                </c:pt>
                <c:pt idx="2">
                  <c:v>1400</c:v>
                </c:pt>
                <c:pt idx="3">
                  <c:v>1600</c:v>
                </c:pt>
                <c:pt idx="4">
                  <c:v>1800</c:v>
                </c:pt>
                <c:pt idx="5">
                  <c:v>2000</c:v>
                </c:pt>
                <c:pt idx="6">
                  <c:v>2200</c:v>
                </c:pt>
                <c:pt idx="7">
                  <c:v>2400</c:v>
                </c:pt>
                <c:pt idx="8">
                  <c:v>2600</c:v>
                </c:pt>
                <c:pt idx="9">
                  <c:v>2800</c:v>
                </c:pt>
                <c:pt idx="10">
                  <c:v>3000</c:v>
                </c:pt>
                <c:pt idx="11">
                  <c:v>3200</c:v>
                </c:pt>
                <c:pt idx="12">
                  <c:v>3400</c:v>
                </c:pt>
                <c:pt idx="13">
                  <c:v>3600</c:v>
                </c:pt>
                <c:pt idx="14">
                  <c:v>3800</c:v>
                </c:pt>
                <c:pt idx="15">
                  <c:v>4000</c:v>
                </c:pt>
                <c:pt idx="16">
                  <c:v>4200</c:v>
                </c:pt>
                <c:pt idx="17">
                  <c:v>4400</c:v>
                </c:pt>
                <c:pt idx="18">
                  <c:v>4600</c:v>
                </c:pt>
                <c:pt idx="19">
                  <c:v>4800</c:v>
                </c:pt>
                <c:pt idx="20">
                  <c:v>5000</c:v>
                </c:pt>
                <c:pt idx="21">
                  <c:v>5200</c:v>
                </c:pt>
                <c:pt idx="22">
                  <c:v>5400</c:v>
                </c:pt>
                <c:pt idx="23">
                  <c:v>5600</c:v>
                </c:pt>
                <c:pt idx="24">
                  <c:v>5800</c:v>
                </c:pt>
              </c:numCache>
            </c:numRef>
          </c:xVal>
          <c:yVal>
            <c:numRef>
              <c:f>Getriebeauslegung!$D$2:$D$26</c:f>
              <c:numCache>
                <c:formatCode>0</c:formatCode>
                <c:ptCount val="25"/>
                <c:pt idx="0">
                  <c:v>28.661999999999999</c:v>
                </c:pt>
                <c:pt idx="1">
                  <c:v>79.61666666666666</c:v>
                </c:pt>
                <c:pt idx="2">
                  <c:v>116.01285714285714</c:v>
                </c:pt>
                <c:pt idx="3">
                  <c:v>143.31</c:v>
                </c:pt>
                <c:pt idx="4">
                  <c:v>159.23333333333332</c:v>
                </c:pt>
                <c:pt idx="5">
                  <c:v>171.97199999999998</c:v>
                </c:pt>
                <c:pt idx="6">
                  <c:v>182.39454545454547</c:v>
                </c:pt>
                <c:pt idx="7">
                  <c:v>191.08</c:v>
                </c:pt>
                <c:pt idx="8">
                  <c:v>198.42923076923077</c:v>
                </c:pt>
                <c:pt idx="9">
                  <c:v>204.72857142857143</c:v>
                </c:pt>
                <c:pt idx="10">
                  <c:v>210.18799999999999</c:v>
                </c:pt>
                <c:pt idx="11">
                  <c:v>214.965</c:v>
                </c:pt>
                <c:pt idx="12">
                  <c:v>219.18</c:v>
                </c:pt>
                <c:pt idx="13">
                  <c:v>220.27277777777778</c:v>
                </c:pt>
                <c:pt idx="14">
                  <c:v>218.73631578947368</c:v>
                </c:pt>
                <c:pt idx="15">
                  <c:v>217.3535</c:v>
                </c:pt>
                <c:pt idx="16">
                  <c:v>213.82761904761904</c:v>
                </c:pt>
                <c:pt idx="17">
                  <c:v>210.62227272727273</c:v>
                </c:pt>
                <c:pt idx="18">
                  <c:v>205.61869565217393</c:v>
                </c:pt>
                <c:pt idx="19">
                  <c:v>199.04166666666666</c:v>
                </c:pt>
                <c:pt idx="20">
                  <c:v>189.16920000000002</c:v>
                </c:pt>
                <c:pt idx="21">
                  <c:v>180.05615384615385</c:v>
                </c:pt>
                <c:pt idx="22">
                  <c:v>169.84888888888889</c:v>
                </c:pt>
                <c:pt idx="23">
                  <c:v>160.37071428571429</c:v>
                </c:pt>
                <c:pt idx="24">
                  <c:v>148.25172413793103</c:v>
                </c:pt>
              </c:numCache>
            </c:numRef>
          </c:yVal>
          <c:smooth val="1"/>
          <c:extLst>
            <c:ext xmlns:c16="http://schemas.microsoft.com/office/drawing/2014/chart" uri="{C3380CC4-5D6E-409C-BE32-E72D297353CC}">
              <c16:uniqueId val="{00000001-1C43-4E62-B1B5-EB2A99B43C8A}"/>
            </c:ext>
          </c:extLst>
        </c:ser>
        <c:dLbls>
          <c:showLegendKey val="0"/>
          <c:showVal val="0"/>
          <c:showCatName val="0"/>
          <c:showSerName val="0"/>
          <c:showPercent val="0"/>
          <c:showBubbleSize val="0"/>
        </c:dLbls>
        <c:axId val="183743560"/>
        <c:axId val="183743176"/>
      </c:scatterChart>
      <c:valAx>
        <c:axId val="183729376"/>
        <c:scaling>
          <c:orientation val="minMax"/>
        </c:scaling>
        <c:delete val="0"/>
        <c:axPos val="b"/>
        <c:majorGridlines/>
        <c:title>
          <c:tx>
            <c:rich>
              <a:bodyPr/>
              <a:lstStyle/>
              <a:p>
                <a:pPr>
                  <a:defRPr/>
                </a:pPr>
                <a:r>
                  <a:rPr lang="en-US"/>
                  <a:t>Drehzahl [1/min]</a:t>
                </a:r>
              </a:p>
            </c:rich>
          </c:tx>
          <c:overlay val="0"/>
        </c:title>
        <c:numFmt formatCode="General" sourceLinked="1"/>
        <c:majorTickMark val="out"/>
        <c:minorTickMark val="none"/>
        <c:tickLblPos val="nextTo"/>
        <c:crossAx val="183763936"/>
        <c:crosses val="autoZero"/>
        <c:crossBetween val="midCat"/>
      </c:valAx>
      <c:valAx>
        <c:axId val="183763936"/>
        <c:scaling>
          <c:orientation val="minMax"/>
        </c:scaling>
        <c:delete val="0"/>
        <c:axPos val="l"/>
        <c:majorGridlines/>
        <c:title>
          <c:tx>
            <c:rich>
              <a:bodyPr rot="-5400000" vert="horz"/>
              <a:lstStyle/>
              <a:p>
                <a:pPr>
                  <a:defRPr/>
                </a:pPr>
                <a:r>
                  <a:rPr lang="en-US"/>
                  <a:t>Leistung [kW]</a:t>
                </a:r>
              </a:p>
            </c:rich>
          </c:tx>
          <c:overlay val="0"/>
        </c:title>
        <c:numFmt formatCode="General" sourceLinked="1"/>
        <c:majorTickMark val="out"/>
        <c:minorTickMark val="none"/>
        <c:tickLblPos val="nextTo"/>
        <c:crossAx val="183729376"/>
        <c:crosses val="autoZero"/>
        <c:crossBetween val="midCat"/>
      </c:valAx>
      <c:valAx>
        <c:axId val="183743176"/>
        <c:scaling>
          <c:orientation val="minMax"/>
          <c:max val="500"/>
        </c:scaling>
        <c:delete val="0"/>
        <c:axPos val="r"/>
        <c:numFmt formatCode="0" sourceLinked="1"/>
        <c:majorTickMark val="out"/>
        <c:minorTickMark val="none"/>
        <c:tickLblPos val="nextTo"/>
        <c:crossAx val="183743560"/>
        <c:crosses val="max"/>
        <c:crossBetween val="midCat"/>
      </c:valAx>
      <c:valAx>
        <c:axId val="183743560"/>
        <c:scaling>
          <c:orientation val="minMax"/>
        </c:scaling>
        <c:delete val="1"/>
        <c:axPos val="b"/>
        <c:numFmt formatCode="General" sourceLinked="1"/>
        <c:majorTickMark val="out"/>
        <c:minorTickMark val="none"/>
        <c:tickLblPos val="nextTo"/>
        <c:crossAx val="183743176"/>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5"/>
          <c:order val="5"/>
          <c:tx>
            <c:v>Untergrenze</c:v>
          </c:tx>
          <c:xVal>
            <c:numRef>
              <c:f>Getriebeauslegung!$B$32:$B$41</c:f>
              <c:numCache>
                <c:formatCode>General</c:formatCode>
                <c:ptCount val="10"/>
                <c:pt idx="0">
                  <c:v>0</c:v>
                </c:pt>
                <c:pt idx="1">
                  <c:v>5800</c:v>
                </c:pt>
                <c:pt idx="2" formatCode="0">
                  <c:v>3004.8892349046846</c:v>
                </c:pt>
                <c:pt idx="3">
                  <c:v>5800</c:v>
                </c:pt>
                <c:pt idx="4" formatCode="0">
                  <c:v>3455.6226201403865</c:v>
                </c:pt>
                <c:pt idx="5">
                  <c:v>5800</c:v>
                </c:pt>
                <c:pt idx="6" formatCode="0">
                  <c:v>3973.9660131614437</c:v>
                </c:pt>
                <c:pt idx="7">
                  <c:v>5800</c:v>
                </c:pt>
                <c:pt idx="8" formatCode="0">
                  <c:v>4570.0609151356612</c:v>
                </c:pt>
                <c:pt idx="9">
                  <c:v>5800</c:v>
                </c:pt>
              </c:numCache>
            </c:numRef>
          </c:xVal>
          <c:yVal>
            <c:numRef>
              <c:f>Getriebeauslegung!$C$32:$C$41</c:f>
              <c:numCache>
                <c:formatCode>0</c:formatCode>
                <c:ptCount val="10"/>
                <c:pt idx="0" formatCode="General">
                  <c:v>0</c:v>
                </c:pt>
                <c:pt idx="1">
                  <c:v>45.810042873770811</c:v>
                </c:pt>
                <c:pt idx="2">
                  <c:v>45.810042873770811</c:v>
                </c:pt>
                <c:pt idx="3">
                  <c:v>88.42197761618948</c:v>
                </c:pt>
                <c:pt idx="4">
                  <c:v>88.42197761618948</c:v>
                </c:pt>
                <c:pt idx="5">
                  <c:v>148.40957087873915</c:v>
                </c:pt>
                <c:pt idx="6">
                  <c:v>148.40957087873915</c:v>
                </c:pt>
                <c:pt idx="7">
                  <c:v>216.60364186454299</c:v>
                </c:pt>
                <c:pt idx="8">
                  <c:v>216.60364186454299</c:v>
                </c:pt>
                <c:pt idx="9">
                  <c:v>274.89811320754711</c:v>
                </c:pt>
              </c:numCache>
            </c:numRef>
          </c:yVal>
          <c:smooth val="0"/>
          <c:extLst>
            <c:ext xmlns:c16="http://schemas.microsoft.com/office/drawing/2014/chart" uri="{C3380CC4-5D6E-409C-BE32-E72D297353CC}">
              <c16:uniqueId val="{00000000-4810-47D0-BAF4-C170C016EC14}"/>
            </c:ext>
          </c:extLst>
        </c:ser>
        <c:dLbls>
          <c:showLegendKey val="0"/>
          <c:showVal val="0"/>
          <c:showCatName val="0"/>
          <c:showSerName val="0"/>
          <c:showPercent val="0"/>
          <c:showBubbleSize val="0"/>
        </c:dLbls>
        <c:axId val="184282728"/>
        <c:axId val="183903448"/>
      </c:scatterChart>
      <c:scatterChart>
        <c:scatterStyle val="smoothMarker"/>
        <c:varyColors val="0"/>
        <c:ser>
          <c:idx val="0"/>
          <c:order val="0"/>
          <c:tx>
            <c:strRef>
              <c:f>Getriebeauslegung!$L$37</c:f>
              <c:strCache>
                <c:ptCount val="1"/>
                <c:pt idx="0">
                  <c:v>i 5</c:v>
                </c:pt>
              </c:strCache>
            </c:strRef>
          </c:tx>
          <c:xVal>
            <c:numRef>
              <c:f>Getriebeauslegung!$E$40:$E$41</c:f>
              <c:numCache>
                <c:formatCode>General</c:formatCode>
                <c:ptCount val="2"/>
                <c:pt idx="0">
                  <c:v>0</c:v>
                </c:pt>
                <c:pt idx="1">
                  <c:v>5800</c:v>
                </c:pt>
              </c:numCache>
            </c:numRef>
          </c:xVal>
          <c:yVal>
            <c:numRef>
              <c:f>Getriebeauslegung!$F$40:$F$41</c:f>
              <c:numCache>
                <c:formatCode>0</c:formatCode>
                <c:ptCount val="2"/>
                <c:pt idx="0">
                  <c:v>0</c:v>
                </c:pt>
                <c:pt idx="1">
                  <c:v>274.89811320754711</c:v>
                </c:pt>
              </c:numCache>
            </c:numRef>
          </c:yVal>
          <c:smooth val="1"/>
          <c:extLst>
            <c:ext xmlns:c16="http://schemas.microsoft.com/office/drawing/2014/chart" uri="{C3380CC4-5D6E-409C-BE32-E72D297353CC}">
              <c16:uniqueId val="{00000001-4810-47D0-BAF4-C170C016EC14}"/>
            </c:ext>
          </c:extLst>
        </c:ser>
        <c:ser>
          <c:idx val="1"/>
          <c:order val="1"/>
          <c:tx>
            <c:strRef>
              <c:f>Getriebeauslegung!$L$48</c:f>
              <c:strCache>
                <c:ptCount val="1"/>
                <c:pt idx="0">
                  <c:v>4</c:v>
                </c:pt>
              </c:strCache>
            </c:strRef>
          </c:tx>
          <c:xVal>
            <c:numRef>
              <c:f>Getriebeauslegung!$E$38:$E$39</c:f>
              <c:numCache>
                <c:formatCode>General</c:formatCode>
                <c:ptCount val="2"/>
                <c:pt idx="0">
                  <c:v>0</c:v>
                </c:pt>
                <c:pt idx="1">
                  <c:v>5800</c:v>
                </c:pt>
              </c:numCache>
            </c:numRef>
          </c:xVal>
          <c:yVal>
            <c:numRef>
              <c:f>Getriebeauslegung!$F$38:$F$39</c:f>
              <c:numCache>
                <c:formatCode>0</c:formatCode>
                <c:ptCount val="2"/>
                <c:pt idx="0">
                  <c:v>0</c:v>
                </c:pt>
                <c:pt idx="1">
                  <c:v>216.60364186454299</c:v>
                </c:pt>
              </c:numCache>
            </c:numRef>
          </c:yVal>
          <c:smooth val="1"/>
          <c:extLst>
            <c:ext xmlns:c16="http://schemas.microsoft.com/office/drawing/2014/chart" uri="{C3380CC4-5D6E-409C-BE32-E72D297353CC}">
              <c16:uniqueId val="{00000002-4810-47D0-BAF4-C170C016EC14}"/>
            </c:ext>
          </c:extLst>
        </c:ser>
        <c:ser>
          <c:idx val="2"/>
          <c:order val="2"/>
          <c:tx>
            <c:strRef>
              <c:f>Getriebeauslegung!$L$49</c:f>
              <c:strCache>
                <c:ptCount val="1"/>
                <c:pt idx="0">
                  <c:v>3</c:v>
                </c:pt>
              </c:strCache>
            </c:strRef>
          </c:tx>
          <c:xVal>
            <c:numRef>
              <c:f>Getriebeauslegung!$E$36:$E$37</c:f>
              <c:numCache>
                <c:formatCode>General</c:formatCode>
                <c:ptCount val="2"/>
                <c:pt idx="0">
                  <c:v>0</c:v>
                </c:pt>
                <c:pt idx="1">
                  <c:v>5800</c:v>
                </c:pt>
              </c:numCache>
            </c:numRef>
          </c:xVal>
          <c:yVal>
            <c:numRef>
              <c:f>Getriebeauslegung!$F$36:$F$37</c:f>
              <c:numCache>
                <c:formatCode>0</c:formatCode>
                <c:ptCount val="2"/>
                <c:pt idx="0">
                  <c:v>0</c:v>
                </c:pt>
                <c:pt idx="1">
                  <c:v>148.40957087873915</c:v>
                </c:pt>
              </c:numCache>
            </c:numRef>
          </c:yVal>
          <c:smooth val="1"/>
          <c:extLst>
            <c:ext xmlns:c16="http://schemas.microsoft.com/office/drawing/2014/chart" uri="{C3380CC4-5D6E-409C-BE32-E72D297353CC}">
              <c16:uniqueId val="{00000003-4810-47D0-BAF4-C170C016EC14}"/>
            </c:ext>
          </c:extLst>
        </c:ser>
        <c:ser>
          <c:idx val="3"/>
          <c:order val="3"/>
          <c:tx>
            <c:strRef>
              <c:f>Getriebeauslegung!$L$50</c:f>
              <c:strCache>
                <c:ptCount val="1"/>
                <c:pt idx="0">
                  <c:v>2</c:v>
                </c:pt>
              </c:strCache>
            </c:strRef>
          </c:tx>
          <c:xVal>
            <c:numRef>
              <c:f>Getriebeauslegung!$E$34:$E$35</c:f>
              <c:numCache>
                <c:formatCode>General</c:formatCode>
                <c:ptCount val="2"/>
                <c:pt idx="0">
                  <c:v>0</c:v>
                </c:pt>
                <c:pt idx="1">
                  <c:v>5800</c:v>
                </c:pt>
              </c:numCache>
            </c:numRef>
          </c:xVal>
          <c:yVal>
            <c:numRef>
              <c:f>Getriebeauslegung!$F$34:$F$35</c:f>
              <c:numCache>
                <c:formatCode>0</c:formatCode>
                <c:ptCount val="2"/>
                <c:pt idx="0">
                  <c:v>0</c:v>
                </c:pt>
                <c:pt idx="1">
                  <c:v>88.42197761618948</c:v>
                </c:pt>
              </c:numCache>
            </c:numRef>
          </c:yVal>
          <c:smooth val="1"/>
          <c:extLst>
            <c:ext xmlns:c16="http://schemas.microsoft.com/office/drawing/2014/chart" uri="{C3380CC4-5D6E-409C-BE32-E72D297353CC}">
              <c16:uniqueId val="{00000004-4810-47D0-BAF4-C170C016EC14}"/>
            </c:ext>
          </c:extLst>
        </c:ser>
        <c:ser>
          <c:idx val="4"/>
          <c:order val="4"/>
          <c:tx>
            <c:strRef>
              <c:f>Getriebeauslegung!$L$51</c:f>
              <c:strCache>
                <c:ptCount val="1"/>
                <c:pt idx="0">
                  <c:v>1</c:v>
                </c:pt>
              </c:strCache>
            </c:strRef>
          </c:tx>
          <c:xVal>
            <c:numRef>
              <c:f>Getriebeauslegung!$E$32:$E$33</c:f>
              <c:numCache>
                <c:formatCode>General</c:formatCode>
                <c:ptCount val="2"/>
                <c:pt idx="0">
                  <c:v>0</c:v>
                </c:pt>
                <c:pt idx="1">
                  <c:v>5800</c:v>
                </c:pt>
              </c:numCache>
            </c:numRef>
          </c:xVal>
          <c:yVal>
            <c:numRef>
              <c:f>Getriebeauslegung!$F$32:$F$33</c:f>
              <c:numCache>
                <c:formatCode>0</c:formatCode>
                <c:ptCount val="2"/>
                <c:pt idx="0">
                  <c:v>0</c:v>
                </c:pt>
                <c:pt idx="1">
                  <c:v>45.810042873770811</c:v>
                </c:pt>
              </c:numCache>
            </c:numRef>
          </c:yVal>
          <c:smooth val="1"/>
          <c:extLst>
            <c:ext xmlns:c16="http://schemas.microsoft.com/office/drawing/2014/chart" uri="{C3380CC4-5D6E-409C-BE32-E72D297353CC}">
              <c16:uniqueId val="{00000005-4810-47D0-BAF4-C170C016EC14}"/>
            </c:ext>
          </c:extLst>
        </c:ser>
        <c:ser>
          <c:idx val="6"/>
          <c:order val="6"/>
          <c:tx>
            <c:v>Untergrenze</c:v>
          </c:tx>
          <c:trendline>
            <c:trendlineType val="linear"/>
            <c:backward val="250"/>
            <c:dispRSqr val="0"/>
            <c:dispEq val="0"/>
          </c:trendline>
          <c:xVal>
            <c:numRef>
              <c:f>Getriebeauslegung!$H$34:$H$37</c:f>
              <c:numCache>
                <c:formatCode>0</c:formatCode>
                <c:ptCount val="4"/>
                <c:pt idx="0">
                  <c:v>3004.8892349046846</c:v>
                </c:pt>
                <c:pt idx="1">
                  <c:v>3455.6226201403865</c:v>
                </c:pt>
                <c:pt idx="2">
                  <c:v>3973.9660131614437</c:v>
                </c:pt>
                <c:pt idx="3">
                  <c:v>4570.0609151356612</c:v>
                </c:pt>
              </c:numCache>
            </c:numRef>
          </c:xVal>
          <c:yVal>
            <c:numRef>
              <c:f>Getriebeauslegung!$J$34:$J$37</c:f>
              <c:numCache>
                <c:formatCode>0</c:formatCode>
                <c:ptCount val="4"/>
                <c:pt idx="0">
                  <c:v>45.810042873770811</c:v>
                </c:pt>
                <c:pt idx="1">
                  <c:v>88.42197761618948</c:v>
                </c:pt>
                <c:pt idx="2">
                  <c:v>148.40957087873915</c:v>
                </c:pt>
                <c:pt idx="3">
                  <c:v>216.60364186454299</c:v>
                </c:pt>
              </c:numCache>
            </c:numRef>
          </c:yVal>
          <c:smooth val="1"/>
          <c:extLst>
            <c:ext xmlns:c16="http://schemas.microsoft.com/office/drawing/2014/chart" uri="{C3380CC4-5D6E-409C-BE32-E72D297353CC}">
              <c16:uniqueId val="{00000007-4810-47D0-BAF4-C170C016EC14}"/>
            </c:ext>
          </c:extLst>
        </c:ser>
        <c:ser>
          <c:idx val="7"/>
          <c:order val="7"/>
          <c:tx>
            <c:v>Obergrenze</c:v>
          </c:tx>
          <c:xVal>
            <c:numRef>
              <c:f>Getriebeauslegung!$I$34:$I$38</c:f>
              <c:numCache>
                <c:formatCode>General</c:formatCode>
                <c:ptCount val="5"/>
                <c:pt idx="0">
                  <c:v>5800</c:v>
                </c:pt>
                <c:pt idx="1">
                  <c:v>5800</c:v>
                </c:pt>
                <c:pt idx="2">
                  <c:v>5800</c:v>
                </c:pt>
                <c:pt idx="3">
                  <c:v>5800</c:v>
                </c:pt>
                <c:pt idx="4">
                  <c:v>5800</c:v>
                </c:pt>
              </c:numCache>
            </c:numRef>
          </c:xVal>
          <c:yVal>
            <c:numRef>
              <c:f>Getriebeauslegung!$J$34:$J$38</c:f>
              <c:numCache>
                <c:formatCode>0</c:formatCode>
                <c:ptCount val="5"/>
                <c:pt idx="0">
                  <c:v>45.810042873770811</c:v>
                </c:pt>
                <c:pt idx="1">
                  <c:v>88.42197761618948</c:v>
                </c:pt>
                <c:pt idx="2">
                  <c:v>148.40957087873915</c:v>
                </c:pt>
                <c:pt idx="3">
                  <c:v>216.60364186454299</c:v>
                </c:pt>
                <c:pt idx="4">
                  <c:v>274.89811320754711</c:v>
                </c:pt>
              </c:numCache>
            </c:numRef>
          </c:yVal>
          <c:smooth val="1"/>
          <c:extLst>
            <c:ext xmlns:c16="http://schemas.microsoft.com/office/drawing/2014/chart" uri="{C3380CC4-5D6E-409C-BE32-E72D297353CC}">
              <c16:uniqueId val="{00000008-4810-47D0-BAF4-C170C016EC14}"/>
            </c:ext>
          </c:extLst>
        </c:ser>
        <c:dLbls>
          <c:showLegendKey val="0"/>
          <c:showVal val="0"/>
          <c:showCatName val="0"/>
          <c:showSerName val="0"/>
          <c:showPercent val="0"/>
          <c:showBubbleSize val="0"/>
        </c:dLbls>
        <c:axId val="184282728"/>
        <c:axId val="183903448"/>
      </c:scatterChart>
      <c:valAx>
        <c:axId val="184282728"/>
        <c:scaling>
          <c:orientation val="minMax"/>
        </c:scaling>
        <c:delete val="0"/>
        <c:axPos val="b"/>
        <c:majorGridlines/>
        <c:title>
          <c:tx>
            <c:rich>
              <a:bodyPr/>
              <a:lstStyle/>
              <a:p>
                <a:pPr>
                  <a:defRPr/>
                </a:pPr>
                <a:r>
                  <a:rPr lang="en-US"/>
                  <a:t>Motordrehzahl</a:t>
                </a:r>
              </a:p>
            </c:rich>
          </c:tx>
          <c:overlay val="0"/>
        </c:title>
        <c:numFmt formatCode="General" sourceLinked="1"/>
        <c:majorTickMark val="out"/>
        <c:minorTickMark val="none"/>
        <c:tickLblPos val="nextTo"/>
        <c:crossAx val="183903448"/>
        <c:crosses val="autoZero"/>
        <c:crossBetween val="midCat"/>
      </c:valAx>
      <c:valAx>
        <c:axId val="183903448"/>
        <c:scaling>
          <c:orientation val="minMax"/>
          <c:min val="0"/>
        </c:scaling>
        <c:delete val="0"/>
        <c:axPos val="l"/>
        <c:majorGridlines/>
        <c:title>
          <c:tx>
            <c:rich>
              <a:bodyPr rot="-5400000" vert="horz"/>
              <a:lstStyle/>
              <a:p>
                <a:pPr>
                  <a:defRPr/>
                </a:pPr>
                <a:r>
                  <a:rPr lang="en-US"/>
                  <a:t>Fahrzeuggeschwindigkeit</a:t>
                </a:r>
              </a:p>
            </c:rich>
          </c:tx>
          <c:overlay val="0"/>
        </c:title>
        <c:numFmt formatCode="General" sourceLinked="1"/>
        <c:majorTickMark val="out"/>
        <c:minorTickMark val="none"/>
        <c:tickLblPos val="nextTo"/>
        <c:crossAx val="184282728"/>
        <c:crosses val="autoZero"/>
        <c:crossBetween val="midCat"/>
      </c:valAx>
    </c:plotArea>
    <c:legend>
      <c:legendPos val="r"/>
      <c:layout>
        <c:manualLayout>
          <c:xMode val="edge"/>
          <c:yMode val="edge"/>
          <c:x val="0.69998586715122146"/>
          <c:y val="0.17467011774898097"/>
          <c:w val="0.28462951746416315"/>
          <c:h val="0.71862545599240446"/>
        </c:manualLayout>
      </c:layout>
      <c:overlay val="0"/>
    </c:legend>
    <c:plotVisOnly val="1"/>
    <c:dispBlanksAs val="gap"/>
    <c:showDLblsOverMax val="0"/>
  </c:chart>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tmp"/></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12.xml.rels><?xml version="1.0" encoding="UTF-8" standalone="yes"?>
<Relationships xmlns="http://schemas.openxmlformats.org/package/2006/relationships"><Relationship Id="rId1" Type="http://schemas.openxmlformats.org/officeDocument/2006/relationships/image" Target="../media/image5.tmp"/></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57150</xdr:rowOff>
    </xdr:from>
    <xdr:to>
      <xdr:col>7</xdr:col>
      <xdr:colOff>736927</xdr:colOff>
      <xdr:row>49</xdr:row>
      <xdr:rowOff>38100</xdr:rowOff>
    </xdr:to>
    <xdr:pic>
      <xdr:nvPicPr>
        <xdr:cNvPr id="3" name="Grafik 2">
          <a:extLst>
            <a:ext uri="{FF2B5EF4-FFF2-40B4-BE49-F238E27FC236}">
              <a16:creationId xmlns:a16="http://schemas.microsoft.com/office/drawing/2014/main" id="{9746275E-D2A5-B374-E7F3-85463581CC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57150"/>
          <a:ext cx="6175702" cy="9315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714375</xdr:colOff>
      <xdr:row>12</xdr:row>
      <xdr:rowOff>47625</xdr:rowOff>
    </xdr:from>
    <xdr:to>
      <xdr:col>24</xdr:col>
      <xdr:colOff>419099</xdr:colOff>
      <xdr:row>18</xdr:row>
      <xdr:rowOff>213389</xdr:rowOff>
    </xdr:to>
    <xdr:pic>
      <xdr:nvPicPr>
        <xdr:cNvPr id="54" name="Grafik 53" descr="Bildschirmausschnitt">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82100" y="2724150"/>
          <a:ext cx="7391400" cy="1481334"/>
        </a:xfrm>
        <a:prstGeom prst="rect">
          <a:avLst/>
        </a:prstGeom>
      </xdr:spPr>
    </xdr:pic>
    <xdr:clientData/>
  </xdr:twoCellAnchor>
  <xdr:oneCellAnchor>
    <xdr:from>
      <xdr:col>14</xdr:col>
      <xdr:colOff>428625</xdr:colOff>
      <xdr:row>20</xdr:row>
      <xdr:rowOff>0</xdr:rowOff>
    </xdr:from>
    <xdr:ext cx="3162300" cy="409215"/>
    <mc:AlternateContent xmlns:mc="http://schemas.openxmlformats.org/markup-compatibility/2006" xmlns:a14="http://schemas.microsoft.com/office/drawing/2010/main">
      <mc:Choice Requires="a14">
        <xdr:sp macro="" textlink="">
          <xdr:nvSpPr>
            <xdr:cNvPr id="55" name="Textfeld 54">
              <a:extLst>
                <a:ext uri="{FF2B5EF4-FFF2-40B4-BE49-F238E27FC236}">
                  <a16:creationId xmlns:a16="http://schemas.microsoft.com/office/drawing/2014/main" id="{00000000-0008-0000-0100-000037000000}"/>
                </a:ext>
              </a:extLst>
            </xdr:cNvPr>
            <xdr:cNvSpPr txBox="1"/>
          </xdr:nvSpPr>
          <xdr:spPr>
            <a:xfrm>
              <a:off x="7458075" y="3762375"/>
              <a:ext cx="31623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𝑃</m:t>
                        </m:r>
                      </m:e>
                      <m:sub>
                        <m:r>
                          <a:rPr lang="de-DE" sz="1100" b="0" i="1">
                            <a:solidFill>
                              <a:schemeClr val="tx1"/>
                            </a:solidFill>
                            <a:effectLst/>
                            <a:latin typeface="Cambria Math"/>
                            <a:ea typeface="+mn-ea"/>
                            <a:cs typeface="+mn-cs"/>
                          </a:rPr>
                          <m:t>𝑒</m:t>
                        </m:r>
                      </m:sub>
                    </m:sSub>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Cambria Math"/>
                            <a:cs typeface="+mn-cs"/>
                          </a:rPr>
                          <m:t>𝜂</m:t>
                        </m:r>
                      </m:e>
                      <m:sub>
                        <m:r>
                          <a:rPr lang="de-DE" sz="1100" b="0" i="1">
                            <a:solidFill>
                              <a:schemeClr val="tx1"/>
                            </a:solidFill>
                            <a:effectLst/>
                            <a:latin typeface="Cambria Math"/>
                            <a:ea typeface="+mn-ea"/>
                            <a:cs typeface="+mn-cs"/>
                          </a:rPr>
                          <m:t>𝑇</m:t>
                        </m:r>
                      </m:sub>
                    </m:sSub>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𝑚</m:t>
                    </m:r>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𝑔</m:t>
                    </m:r>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𝑓</m:t>
                        </m:r>
                      </m:e>
                      <m:sub>
                        <m:r>
                          <a:rPr lang="de-DE" sz="1100" b="0" i="1">
                            <a:solidFill>
                              <a:schemeClr val="tx1"/>
                            </a:solidFill>
                            <a:effectLst/>
                            <a:latin typeface="Cambria Math"/>
                            <a:ea typeface="+mn-ea"/>
                            <a:cs typeface="+mn-cs"/>
                          </a:rPr>
                          <m:t>𝑅</m:t>
                        </m:r>
                      </m:sub>
                    </m:sSub>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𝑣</m:t>
                    </m:r>
                    <m:r>
                      <a:rPr lang="de-DE" sz="1100" b="0" i="1">
                        <a:solidFill>
                          <a:schemeClr val="tx1"/>
                        </a:solidFill>
                        <a:effectLst/>
                        <a:latin typeface="Cambria Math"/>
                        <a:ea typeface="+mn-ea"/>
                        <a:cs typeface="+mn-cs"/>
                      </a:rPr>
                      <m:t>+</m:t>
                    </m:r>
                    <m:f>
                      <m:fPr>
                        <m:ctrlPr>
                          <a:rPr lang="de-DE"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a:ea typeface="+mn-ea"/>
                            <a:cs typeface="+mn-cs"/>
                          </a:rPr>
                          <m:t>1</m:t>
                        </m:r>
                      </m:num>
                      <m:den>
                        <m:r>
                          <a:rPr lang="en-US" sz="1100" b="0" i="1">
                            <a:solidFill>
                              <a:schemeClr val="tx1"/>
                            </a:solidFill>
                            <a:effectLst/>
                            <a:latin typeface="Cambria Math"/>
                            <a:ea typeface="+mn-ea"/>
                            <a:cs typeface="+mn-cs"/>
                          </a:rPr>
                          <m:t>2</m:t>
                        </m:r>
                      </m:den>
                    </m:f>
                    <m:sSub>
                      <m:sSubPr>
                        <m:ctrlPr>
                          <a:rPr lang="de-DE"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a:ea typeface="+mn-ea"/>
                            <a:cs typeface="+mn-cs"/>
                          </a:rPr>
                          <m:t>𝑐</m:t>
                        </m:r>
                      </m:e>
                      <m:sub>
                        <m:r>
                          <a:rPr lang="en-US" sz="1100" b="0" i="1">
                            <a:solidFill>
                              <a:schemeClr val="tx1"/>
                            </a:solidFill>
                            <a:effectLst/>
                            <a:latin typeface="Cambria Math"/>
                            <a:ea typeface="+mn-ea"/>
                            <a:cs typeface="+mn-cs"/>
                          </a:rPr>
                          <m:t>𝑤</m:t>
                        </m:r>
                      </m:sub>
                    </m:sSub>
                    <m:r>
                      <a:rPr lang="en-US" sz="1100" b="0" i="1">
                        <a:solidFill>
                          <a:schemeClr val="tx1"/>
                        </a:solidFill>
                        <a:effectLst/>
                        <a:latin typeface="Cambria Math"/>
                        <a:ea typeface="+mn-ea"/>
                        <a:cs typeface="+mn-cs"/>
                      </a:rPr>
                      <m:t>∗</m:t>
                    </m:r>
                    <m:r>
                      <a:rPr lang="en-US" sz="1100" b="0" i="1">
                        <a:solidFill>
                          <a:schemeClr val="tx1"/>
                        </a:solidFill>
                        <a:effectLst/>
                        <a:latin typeface="Cambria Math"/>
                        <a:ea typeface="+mn-ea"/>
                        <a:cs typeface="+mn-cs"/>
                      </a:rPr>
                      <m:t>𝐴</m:t>
                    </m:r>
                    <m:r>
                      <a:rPr lang="en-US"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𝜌</m:t>
                    </m:r>
                    <m:r>
                      <a:rPr lang="en-US" sz="1100" b="0" i="1">
                        <a:solidFill>
                          <a:schemeClr val="tx1"/>
                        </a:solidFill>
                        <a:effectLst/>
                        <a:latin typeface="Cambria Math"/>
                        <a:ea typeface="+mn-ea"/>
                        <a:cs typeface="+mn-cs"/>
                      </a:rPr>
                      <m:t>∗</m:t>
                    </m:r>
                    <m:sSup>
                      <m:sSupPr>
                        <m:ctrlPr>
                          <a:rPr lang="de-DE" sz="1100" b="0" i="1">
                            <a:solidFill>
                              <a:schemeClr val="tx1"/>
                            </a:solidFill>
                            <a:effectLst/>
                            <a:latin typeface="Cambria Math" panose="02040503050406030204" pitchFamily="18" charset="0"/>
                            <a:ea typeface="+mn-ea"/>
                            <a:cs typeface="+mn-cs"/>
                          </a:rPr>
                        </m:ctrlPr>
                      </m:sSupPr>
                      <m:e>
                        <m:r>
                          <a:rPr lang="de-DE" sz="1100" b="0" i="1">
                            <a:solidFill>
                              <a:schemeClr val="tx1"/>
                            </a:solidFill>
                            <a:effectLst/>
                            <a:latin typeface="Cambria Math"/>
                            <a:ea typeface="+mn-ea"/>
                            <a:cs typeface="+mn-cs"/>
                          </a:rPr>
                          <m:t>𝑣</m:t>
                        </m:r>
                      </m:e>
                      <m:sup>
                        <m:r>
                          <a:rPr lang="de-DE" sz="1100" b="0" i="1">
                            <a:solidFill>
                              <a:schemeClr val="tx1"/>
                            </a:solidFill>
                            <a:effectLst/>
                            <a:latin typeface="Cambria Math"/>
                            <a:ea typeface="+mn-ea"/>
                            <a:cs typeface="+mn-cs"/>
                          </a:rPr>
                          <m:t>3</m:t>
                        </m:r>
                      </m:sup>
                    </m:sSup>
                  </m:oMath>
                </m:oMathPara>
              </a14:m>
              <a:endParaRPr lang="de-DE" sz="1100" b="0" i="1"/>
            </a:p>
          </xdr:txBody>
        </xdr:sp>
      </mc:Choice>
      <mc:Fallback xmlns="">
        <xdr:sp macro="" textlink="">
          <xdr:nvSpPr>
            <xdr:cNvPr id="55" name="Textfeld 54"/>
            <xdr:cNvSpPr txBox="1"/>
          </xdr:nvSpPr>
          <xdr:spPr>
            <a:xfrm>
              <a:off x="7458075" y="3762375"/>
              <a:ext cx="31623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100" b="0" i="0">
                  <a:solidFill>
                    <a:schemeClr val="tx1"/>
                  </a:solidFill>
                  <a:effectLst/>
                  <a:latin typeface="Cambria Math"/>
                  <a:ea typeface="+mn-ea"/>
                  <a:cs typeface="+mn-cs"/>
                </a:rPr>
                <a:t>𝑃_𝑒∗</a:t>
              </a:r>
              <a:r>
                <a:rPr lang="de-DE" sz="1100" b="0" i="0">
                  <a:solidFill>
                    <a:schemeClr val="tx1"/>
                  </a:solidFill>
                  <a:effectLst/>
                  <a:latin typeface="Cambria Math"/>
                  <a:ea typeface="Cambria Math"/>
                  <a:cs typeface="+mn-cs"/>
                </a:rPr>
                <a:t>𝜂</a:t>
              </a:r>
              <a:r>
                <a:rPr lang="de-DE" sz="1100" b="0" i="0">
                  <a:solidFill>
                    <a:schemeClr val="tx1"/>
                  </a:solidFill>
                  <a:effectLst/>
                  <a:latin typeface="Cambria Math"/>
                  <a:ea typeface="+mn-ea"/>
                  <a:cs typeface="+mn-cs"/>
                </a:rPr>
                <a:t>_𝑇=𝑚∗𝑔∗𝑓_𝑅∗𝑣</a:t>
              </a:r>
              <a:r>
                <a:rPr lang="de-DE" sz="1100" b="0" i="0">
                  <a:solidFill>
                    <a:schemeClr val="tx1"/>
                  </a:solidFill>
                  <a:effectLst/>
                  <a:latin typeface="+mn-lt"/>
                  <a:ea typeface="+mn-ea"/>
                  <a:cs typeface="+mn-cs"/>
                </a:rPr>
                <a:t>+</a:t>
              </a:r>
              <a:r>
                <a:rPr lang="en-US" sz="1100" b="0" i="0">
                  <a:solidFill>
                    <a:schemeClr val="tx1"/>
                  </a:solidFill>
                  <a:effectLst/>
                  <a:latin typeface="+mn-lt"/>
                  <a:ea typeface="+mn-ea"/>
                  <a:cs typeface="+mn-cs"/>
                </a:rPr>
                <a:t>1</a:t>
              </a:r>
              <a:r>
                <a:rPr lang="de-DE" sz="1100" b="0" i="0">
                  <a:solidFill>
                    <a:schemeClr val="tx1"/>
                  </a:solidFill>
                  <a:effectLst/>
                  <a:latin typeface="+mn-lt"/>
                  <a:ea typeface="+mn-ea"/>
                  <a:cs typeface="+mn-cs"/>
                </a:rPr>
                <a:t>/</a:t>
              </a:r>
              <a:r>
                <a:rPr lang="en-US" sz="1100" b="0" i="0">
                  <a:solidFill>
                    <a:schemeClr val="tx1"/>
                  </a:solidFill>
                  <a:effectLst/>
                  <a:latin typeface="+mn-lt"/>
                  <a:ea typeface="+mn-ea"/>
                  <a:cs typeface="+mn-cs"/>
                </a:rPr>
                <a:t>2</a:t>
              </a:r>
              <a:r>
                <a:rPr lang="de-DE" sz="1100" b="0" i="0">
                  <a:solidFill>
                    <a:schemeClr val="tx1"/>
                  </a:solidFill>
                  <a:effectLst/>
                  <a:latin typeface="+mn-lt"/>
                  <a:ea typeface="+mn-ea"/>
                  <a:cs typeface="+mn-cs"/>
                </a:rPr>
                <a:t> </a:t>
              </a:r>
              <a:r>
                <a:rPr lang="en-US" sz="1100" b="0" i="0">
                  <a:solidFill>
                    <a:schemeClr val="tx1"/>
                  </a:solidFill>
                  <a:effectLst/>
                  <a:latin typeface="+mn-lt"/>
                  <a:ea typeface="+mn-ea"/>
                  <a:cs typeface="+mn-cs"/>
                </a:rPr>
                <a:t>𝑐</a:t>
              </a:r>
              <a:r>
                <a:rPr lang="de-DE" sz="1100" b="0" i="0">
                  <a:solidFill>
                    <a:schemeClr val="tx1"/>
                  </a:solidFill>
                  <a:effectLst/>
                  <a:latin typeface="+mn-lt"/>
                  <a:ea typeface="+mn-ea"/>
                  <a:cs typeface="+mn-cs"/>
                </a:rPr>
                <a:t>_</a:t>
              </a:r>
              <a:r>
                <a:rPr lang="en-US" sz="1100" b="0" i="0">
                  <a:solidFill>
                    <a:schemeClr val="tx1"/>
                  </a:solidFill>
                  <a:effectLst/>
                  <a:latin typeface="+mn-lt"/>
                  <a:ea typeface="+mn-ea"/>
                  <a:cs typeface="+mn-cs"/>
                </a:rPr>
                <a:t>𝑤∗𝐴∗</a:t>
              </a:r>
              <a:r>
                <a:rPr lang="de-DE" sz="1100" b="0" i="0">
                  <a:solidFill>
                    <a:schemeClr val="tx1"/>
                  </a:solidFill>
                  <a:effectLst/>
                  <a:latin typeface="+mn-lt"/>
                  <a:ea typeface="+mn-ea"/>
                  <a:cs typeface="+mn-cs"/>
                </a:rPr>
                <a:t>𝜌</a:t>
              </a:r>
              <a:r>
                <a:rPr lang="en-US" sz="1100" b="0" i="0">
                  <a:solidFill>
                    <a:schemeClr val="tx1"/>
                  </a:solidFill>
                  <a:effectLst/>
                  <a:latin typeface="+mn-lt"/>
                  <a:ea typeface="+mn-ea"/>
                  <a:cs typeface="+mn-cs"/>
                </a:rPr>
                <a:t>∗</a:t>
              </a:r>
              <a:r>
                <a:rPr lang="de-DE" sz="1100" b="0" i="0">
                  <a:solidFill>
                    <a:schemeClr val="tx1"/>
                  </a:solidFill>
                  <a:effectLst/>
                  <a:latin typeface="+mn-lt"/>
                  <a:ea typeface="+mn-ea"/>
                  <a:cs typeface="+mn-cs"/>
                </a:rPr>
                <a:t>𝑣^</a:t>
              </a:r>
              <a:r>
                <a:rPr lang="de-DE" sz="1100" b="0" i="0">
                  <a:solidFill>
                    <a:schemeClr val="tx1"/>
                  </a:solidFill>
                  <a:effectLst/>
                  <a:latin typeface="Cambria Math"/>
                  <a:ea typeface="+mn-ea"/>
                  <a:cs typeface="+mn-cs"/>
                </a:rPr>
                <a:t>3</a:t>
              </a:r>
              <a:endParaRPr lang="de-DE" sz="1100" b="0" i="1"/>
            </a:p>
          </xdr:txBody>
        </xdr:sp>
      </mc:Fallback>
    </mc:AlternateContent>
    <xdr:clientData/>
  </xdr:oneCellAnchor>
  <xdr:oneCellAnchor>
    <xdr:from>
      <xdr:col>14</xdr:col>
      <xdr:colOff>714375</xdr:colOff>
      <xdr:row>21</xdr:row>
      <xdr:rowOff>66675</xdr:rowOff>
    </xdr:from>
    <xdr:ext cx="3162300" cy="409215"/>
    <mc:AlternateContent xmlns:mc="http://schemas.openxmlformats.org/markup-compatibility/2006" xmlns:a14="http://schemas.microsoft.com/office/drawing/2010/main">
      <mc:Choice Requires="a14">
        <xdr:sp macro="" textlink="">
          <xdr:nvSpPr>
            <xdr:cNvPr id="56" name="Textfeld 55">
              <a:extLst>
                <a:ext uri="{FF2B5EF4-FFF2-40B4-BE49-F238E27FC236}">
                  <a16:creationId xmlns:a16="http://schemas.microsoft.com/office/drawing/2014/main" id="{00000000-0008-0000-0100-000038000000}"/>
                </a:ext>
              </a:extLst>
            </xdr:cNvPr>
            <xdr:cNvSpPr txBox="1"/>
          </xdr:nvSpPr>
          <xdr:spPr>
            <a:xfrm>
              <a:off x="7743825" y="4143375"/>
              <a:ext cx="31623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de-DE" sz="1100" b="0" i="1">
                        <a:solidFill>
                          <a:schemeClr val="tx1"/>
                        </a:solidFill>
                        <a:effectLst/>
                        <a:latin typeface="Cambria Math"/>
                        <a:ea typeface="+mn-ea"/>
                        <a:cs typeface="+mn-cs"/>
                      </a:rPr>
                      <m:t>0=</m:t>
                    </m:r>
                    <m:f>
                      <m:fPr>
                        <m:ctrlPr>
                          <a:rPr lang="de-DE"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a:ea typeface="+mn-ea"/>
                            <a:cs typeface="+mn-cs"/>
                          </a:rPr>
                          <m:t>1</m:t>
                        </m:r>
                      </m:num>
                      <m:den>
                        <m:r>
                          <a:rPr lang="en-US" sz="1100" b="0" i="1">
                            <a:solidFill>
                              <a:schemeClr val="tx1"/>
                            </a:solidFill>
                            <a:effectLst/>
                            <a:latin typeface="Cambria Math"/>
                            <a:ea typeface="+mn-ea"/>
                            <a:cs typeface="+mn-cs"/>
                          </a:rPr>
                          <m:t>2</m:t>
                        </m:r>
                      </m:den>
                    </m:f>
                    <m:sSub>
                      <m:sSubPr>
                        <m:ctrlPr>
                          <a:rPr lang="de-DE"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a:ea typeface="+mn-ea"/>
                            <a:cs typeface="+mn-cs"/>
                          </a:rPr>
                          <m:t>𝑐</m:t>
                        </m:r>
                      </m:e>
                      <m:sub>
                        <m:r>
                          <a:rPr lang="en-US" sz="1100" b="0" i="1">
                            <a:solidFill>
                              <a:schemeClr val="tx1"/>
                            </a:solidFill>
                            <a:effectLst/>
                            <a:latin typeface="Cambria Math"/>
                            <a:ea typeface="+mn-ea"/>
                            <a:cs typeface="+mn-cs"/>
                          </a:rPr>
                          <m:t>𝑤</m:t>
                        </m:r>
                      </m:sub>
                    </m:sSub>
                    <m:r>
                      <a:rPr lang="en-US" sz="1100" b="0" i="1">
                        <a:solidFill>
                          <a:schemeClr val="tx1"/>
                        </a:solidFill>
                        <a:effectLst/>
                        <a:latin typeface="Cambria Math"/>
                        <a:ea typeface="+mn-ea"/>
                        <a:cs typeface="+mn-cs"/>
                      </a:rPr>
                      <m:t>∗</m:t>
                    </m:r>
                    <m:r>
                      <a:rPr lang="en-US" sz="1100" b="0" i="1">
                        <a:solidFill>
                          <a:schemeClr val="tx1"/>
                        </a:solidFill>
                        <a:effectLst/>
                        <a:latin typeface="Cambria Math"/>
                        <a:ea typeface="+mn-ea"/>
                        <a:cs typeface="+mn-cs"/>
                      </a:rPr>
                      <m:t>𝐴</m:t>
                    </m:r>
                    <m:r>
                      <a:rPr lang="en-US"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𝜌</m:t>
                    </m:r>
                    <m:r>
                      <a:rPr lang="en-US" sz="1100" b="0" i="1">
                        <a:solidFill>
                          <a:schemeClr val="tx1"/>
                        </a:solidFill>
                        <a:effectLst/>
                        <a:latin typeface="Cambria Math"/>
                        <a:ea typeface="+mn-ea"/>
                        <a:cs typeface="+mn-cs"/>
                      </a:rPr>
                      <m:t>∗</m:t>
                    </m:r>
                    <m:sSup>
                      <m:sSupPr>
                        <m:ctrlPr>
                          <a:rPr lang="de-DE" sz="1100" b="0" i="1">
                            <a:solidFill>
                              <a:schemeClr val="tx1"/>
                            </a:solidFill>
                            <a:effectLst/>
                            <a:latin typeface="Cambria Math" panose="02040503050406030204" pitchFamily="18" charset="0"/>
                            <a:ea typeface="+mn-ea"/>
                            <a:cs typeface="+mn-cs"/>
                          </a:rPr>
                        </m:ctrlPr>
                      </m:sSupPr>
                      <m:e>
                        <m:r>
                          <a:rPr lang="de-DE" sz="1100" b="0" i="1">
                            <a:solidFill>
                              <a:schemeClr val="tx1"/>
                            </a:solidFill>
                            <a:effectLst/>
                            <a:latin typeface="Cambria Math"/>
                            <a:ea typeface="+mn-ea"/>
                            <a:cs typeface="+mn-cs"/>
                          </a:rPr>
                          <m:t>𝑣</m:t>
                        </m:r>
                      </m:e>
                      <m:sup>
                        <m:r>
                          <a:rPr lang="de-DE" sz="1100" b="0" i="1">
                            <a:solidFill>
                              <a:schemeClr val="tx1"/>
                            </a:solidFill>
                            <a:effectLst/>
                            <a:latin typeface="Cambria Math"/>
                            <a:ea typeface="+mn-ea"/>
                            <a:cs typeface="+mn-cs"/>
                          </a:rPr>
                          <m:t>3</m:t>
                        </m:r>
                      </m:sup>
                    </m:sSup>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𝑚</m:t>
                    </m:r>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𝑔</m:t>
                    </m:r>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𝑓</m:t>
                        </m:r>
                      </m:e>
                      <m:sub>
                        <m:r>
                          <a:rPr lang="de-DE" sz="1100" b="0" i="1">
                            <a:solidFill>
                              <a:schemeClr val="tx1"/>
                            </a:solidFill>
                            <a:effectLst/>
                            <a:latin typeface="Cambria Math"/>
                            <a:ea typeface="+mn-ea"/>
                            <a:cs typeface="+mn-cs"/>
                          </a:rPr>
                          <m:t>𝑅</m:t>
                        </m:r>
                      </m:sub>
                    </m:sSub>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𝑣</m:t>
                    </m:r>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𝑃</m:t>
                        </m:r>
                      </m:e>
                      <m:sub>
                        <m:r>
                          <a:rPr lang="de-DE" sz="1100" b="0" i="1">
                            <a:solidFill>
                              <a:schemeClr val="tx1"/>
                            </a:solidFill>
                            <a:effectLst/>
                            <a:latin typeface="Cambria Math"/>
                            <a:ea typeface="+mn-ea"/>
                            <a:cs typeface="+mn-cs"/>
                          </a:rPr>
                          <m:t>𝑒</m:t>
                        </m:r>
                      </m:sub>
                    </m:sSub>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𝜂</m:t>
                        </m:r>
                      </m:e>
                      <m:sub>
                        <m:r>
                          <a:rPr lang="de-DE" sz="1100" b="0" i="1">
                            <a:solidFill>
                              <a:schemeClr val="tx1"/>
                            </a:solidFill>
                            <a:effectLst/>
                            <a:latin typeface="Cambria Math"/>
                            <a:ea typeface="+mn-ea"/>
                            <a:cs typeface="+mn-cs"/>
                          </a:rPr>
                          <m:t>𝑇</m:t>
                        </m:r>
                      </m:sub>
                    </m:sSub>
                  </m:oMath>
                </m:oMathPara>
              </a14:m>
              <a:endParaRPr lang="de-DE" sz="1100" b="0" i="1"/>
            </a:p>
          </xdr:txBody>
        </xdr:sp>
      </mc:Choice>
      <mc:Fallback xmlns="">
        <xdr:sp macro="" textlink="">
          <xdr:nvSpPr>
            <xdr:cNvPr id="56" name="Textfeld 55"/>
            <xdr:cNvSpPr txBox="1"/>
          </xdr:nvSpPr>
          <xdr:spPr>
            <a:xfrm>
              <a:off x="7743825" y="4143375"/>
              <a:ext cx="31623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100" b="0" i="0">
                  <a:solidFill>
                    <a:schemeClr val="tx1"/>
                  </a:solidFill>
                  <a:effectLst/>
                  <a:latin typeface="Cambria Math"/>
                  <a:ea typeface="+mn-ea"/>
                  <a:cs typeface="+mn-cs"/>
                </a:rPr>
                <a:t>0=</a:t>
              </a:r>
              <a:r>
                <a:rPr lang="en-US" sz="1100" b="0" i="0">
                  <a:solidFill>
                    <a:schemeClr val="tx1"/>
                  </a:solidFill>
                  <a:effectLst/>
                  <a:latin typeface="+mn-lt"/>
                  <a:ea typeface="+mn-ea"/>
                  <a:cs typeface="+mn-cs"/>
                </a:rPr>
                <a:t>1</a:t>
              </a:r>
              <a:r>
                <a:rPr lang="de-DE" sz="1100" b="0" i="0">
                  <a:solidFill>
                    <a:schemeClr val="tx1"/>
                  </a:solidFill>
                  <a:effectLst/>
                  <a:latin typeface="+mn-lt"/>
                  <a:ea typeface="+mn-ea"/>
                  <a:cs typeface="+mn-cs"/>
                </a:rPr>
                <a:t>/</a:t>
              </a:r>
              <a:r>
                <a:rPr lang="en-US" sz="1100" b="0" i="0">
                  <a:solidFill>
                    <a:schemeClr val="tx1"/>
                  </a:solidFill>
                  <a:effectLst/>
                  <a:latin typeface="+mn-lt"/>
                  <a:ea typeface="+mn-ea"/>
                  <a:cs typeface="+mn-cs"/>
                </a:rPr>
                <a:t>2</a:t>
              </a:r>
              <a:r>
                <a:rPr lang="de-DE" sz="1100" b="0" i="0">
                  <a:solidFill>
                    <a:schemeClr val="tx1"/>
                  </a:solidFill>
                  <a:effectLst/>
                  <a:latin typeface="+mn-lt"/>
                  <a:ea typeface="+mn-ea"/>
                  <a:cs typeface="+mn-cs"/>
                </a:rPr>
                <a:t> </a:t>
              </a:r>
              <a:r>
                <a:rPr lang="en-US" sz="1100" b="0" i="0">
                  <a:solidFill>
                    <a:schemeClr val="tx1"/>
                  </a:solidFill>
                  <a:effectLst/>
                  <a:latin typeface="+mn-lt"/>
                  <a:ea typeface="+mn-ea"/>
                  <a:cs typeface="+mn-cs"/>
                </a:rPr>
                <a:t>𝑐</a:t>
              </a:r>
              <a:r>
                <a:rPr lang="de-DE" sz="1100" b="0" i="0">
                  <a:solidFill>
                    <a:schemeClr val="tx1"/>
                  </a:solidFill>
                  <a:effectLst/>
                  <a:latin typeface="+mn-lt"/>
                  <a:ea typeface="+mn-ea"/>
                  <a:cs typeface="+mn-cs"/>
                </a:rPr>
                <a:t>_</a:t>
              </a:r>
              <a:r>
                <a:rPr lang="en-US" sz="1100" b="0" i="0">
                  <a:solidFill>
                    <a:schemeClr val="tx1"/>
                  </a:solidFill>
                  <a:effectLst/>
                  <a:latin typeface="+mn-lt"/>
                  <a:ea typeface="+mn-ea"/>
                  <a:cs typeface="+mn-cs"/>
                </a:rPr>
                <a:t>𝑤∗𝐴∗</a:t>
              </a:r>
              <a:r>
                <a:rPr lang="de-DE" sz="1100" b="0" i="0">
                  <a:solidFill>
                    <a:schemeClr val="tx1"/>
                  </a:solidFill>
                  <a:effectLst/>
                  <a:latin typeface="+mn-lt"/>
                  <a:ea typeface="+mn-ea"/>
                  <a:cs typeface="+mn-cs"/>
                </a:rPr>
                <a:t>𝜌</a:t>
              </a:r>
              <a:r>
                <a:rPr lang="en-US" sz="1100" b="0" i="0">
                  <a:solidFill>
                    <a:schemeClr val="tx1"/>
                  </a:solidFill>
                  <a:effectLst/>
                  <a:latin typeface="+mn-lt"/>
                  <a:ea typeface="+mn-ea"/>
                  <a:cs typeface="+mn-cs"/>
                </a:rPr>
                <a:t>∗</a:t>
              </a:r>
              <a:r>
                <a:rPr lang="de-DE" sz="1100" b="0" i="0">
                  <a:solidFill>
                    <a:schemeClr val="tx1"/>
                  </a:solidFill>
                  <a:effectLst/>
                  <a:latin typeface="+mn-lt"/>
                  <a:ea typeface="+mn-ea"/>
                  <a:cs typeface="+mn-cs"/>
                </a:rPr>
                <a:t>𝑣^3</a:t>
              </a:r>
              <a:r>
                <a:rPr lang="de-DE" sz="1100" b="0" i="0">
                  <a:solidFill>
                    <a:schemeClr val="tx1"/>
                  </a:solidFill>
                  <a:effectLst/>
                  <a:latin typeface="Cambria Math"/>
                  <a:ea typeface="+mn-ea"/>
                  <a:cs typeface="+mn-cs"/>
                </a:rPr>
                <a:t>+𝑚∗𝑔∗𝑓_𝑅∗𝑣−</a:t>
              </a:r>
              <a:r>
                <a:rPr lang="de-DE" sz="1100" b="0" i="0">
                  <a:solidFill>
                    <a:schemeClr val="tx1"/>
                  </a:solidFill>
                  <a:effectLst/>
                  <a:latin typeface="+mn-lt"/>
                  <a:ea typeface="+mn-ea"/>
                  <a:cs typeface="+mn-cs"/>
                </a:rPr>
                <a:t>𝑃_𝑒∗𝜂_𝑇</a:t>
              </a:r>
              <a:endParaRPr lang="de-DE" sz="1100" b="0" i="1"/>
            </a:p>
          </xdr:txBody>
        </xdr:sp>
      </mc:Fallback>
    </mc:AlternateContent>
    <xdr:clientData/>
  </xdr:oneCellAnchor>
  <xdr:oneCellAnchor>
    <xdr:from>
      <xdr:col>14</xdr:col>
      <xdr:colOff>457200</xdr:colOff>
      <xdr:row>23</xdr:row>
      <xdr:rowOff>114300</xdr:rowOff>
    </xdr:from>
    <xdr:ext cx="3162300" cy="453586"/>
    <mc:AlternateContent xmlns:mc="http://schemas.openxmlformats.org/markup-compatibility/2006" xmlns:a14="http://schemas.microsoft.com/office/drawing/2010/main">
      <mc:Choice Requires="a14">
        <xdr:sp macro="" textlink="">
          <xdr:nvSpPr>
            <xdr:cNvPr id="57" name="Textfeld 56">
              <a:extLst>
                <a:ext uri="{FF2B5EF4-FFF2-40B4-BE49-F238E27FC236}">
                  <a16:creationId xmlns:a16="http://schemas.microsoft.com/office/drawing/2014/main" id="{00000000-0008-0000-0100-000039000000}"/>
                </a:ext>
              </a:extLst>
            </xdr:cNvPr>
            <xdr:cNvSpPr txBox="1"/>
          </xdr:nvSpPr>
          <xdr:spPr>
            <a:xfrm>
              <a:off x="7486650" y="4572000"/>
              <a:ext cx="3162300" cy="453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de-DE" sz="1100" b="0" i="1">
                        <a:solidFill>
                          <a:schemeClr val="tx1"/>
                        </a:solidFill>
                        <a:effectLst/>
                        <a:latin typeface="Cambria Math"/>
                        <a:ea typeface="+mn-ea"/>
                        <a:cs typeface="+mn-cs"/>
                      </a:rPr>
                      <m:t>0=</m:t>
                    </m:r>
                    <m:sSup>
                      <m:sSupPr>
                        <m:ctrlPr>
                          <a:rPr lang="de-DE" sz="1100" b="0" i="1">
                            <a:solidFill>
                              <a:schemeClr val="tx1"/>
                            </a:solidFill>
                            <a:effectLst/>
                            <a:latin typeface="Cambria Math" panose="02040503050406030204" pitchFamily="18" charset="0"/>
                            <a:ea typeface="+mn-ea"/>
                            <a:cs typeface="+mn-cs"/>
                          </a:rPr>
                        </m:ctrlPr>
                      </m:sSupPr>
                      <m:e>
                        <m:r>
                          <a:rPr lang="de-DE" sz="1100" b="0" i="1">
                            <a:solidFill>
                              <a:schemeClr val="tx1"/>
                            </a:solidFill>
                            <a:effectLst/>
                            <a:latin typeface="Cambria Math"/>
                            <a:ea typeface="+mn-ea"/>
                            <a:cs typeface="+mn-cs"/>
                          </a:rPr>
                          <m:t>𝑣</m:t>
                        </m:r>
                      </m:e>
                      <m:sup>
                        <m:r>
                          <a:rPr lang="de-DE" sz="1100" b="0" i="1">
                            <a:solidFill>
                              <a:schemeClr val="tx1"/>
                            </a:solidFill>
                            <a:effectLst/>
                            <a:latin typeface="Cambria Math"/>
                            <a:ea typeface="+mn-ea"/>
                            <a:cs typeface="+mn-cs"/>
                          </a:rPr>
                          <m:t>3</m:t>
                        </m:r>
                      </m:sup>
                    </m:sSup>
                    <m:r>
                      <a:rPr lang="de-DE" sz="1100" b="0" i="1">
                        <a:solidFill>
                          <a:schemeClr val="tx1"/>
                        </a:solidFill>
                        <a:effectLst/>
                        <a:latin typeface="Cambria Math"/>
                        <a:ea typeface="+mn-ea"/>
                        <a:cs typeface="+mn-cs"/>
                      </a:rPr>
                      <m:t>+</m:t>
                    </m:r>
                    <m:f>
                      <m:fPr>
                        <m:ctrlPr>
                          <a:rPr lang="de-DE" sz="1100" b="0" i="1">
                            <a:solidFill>
                              <a:schemeClr val="tx1"/>
                            </a:solidFill>
                            <a:effectLst/>
                            <a:latin typeface="Cambria Math" panose="02040503050406030204" pitchFamily="18" charset="0"/>
                            <a:ea typeface="+mn-ea"/>
                            <a:cs typeface="+mn-cs"/>
                          </a:rPr>
                        </m:ctrlPr>
                      </m:fPr>
                      <m:num>
                        <m:r>
                          <a:rPr lang="de-DE" sz="1100" b="0" i="1">
                            <a:solidFill>
                              <a:schemeClr val="tx1"/>
                            </a:solidFill>
                            <a:effectLst/>
                            <a:latin typeface="Cambria Math"/>
                            <a:ea typeface="+mn-ea"/>
                            <a:cs typeface="+mn-cs"/>
                          </a:rPr>
                          <m:t>2∗</m:t>
                        </m:r>
                        <m:r>
                          <a:rPr lang="de-DE" sz="1100" b="0" i="1">
                            <a:solidFill>
                              <a:schemeClr val="tx1"/>
                            </a:solidFill>
                            <a:effectLst/>
                            <a:latin typeface="Cambria Math"/>
                            <a:ea typeface="+mn-ea"/>
                            <a:cs typeface="+mn-cs"/>
                          </a:rPr>
                          <m:t>𝑚</m:t>
                        </m:r>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𝑔</m:t>
                        </m:r>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𝑓</m:t>
                            </m:r>
                          </m:e>
                          <m:sub>
                            <m:r>
                              <a:rPr lang="de-DE" sz="1100" b="0" i="1">
                                <a:solidFill>
                                  <a:schemeClr val="tx1"/>
                                </a:solidFill>
                                <a:effectLst/>
                                <a:latin typeface="Cambria Math"/>
                                <a:ea typeface="+mn-ea"/>
                                <a:cs typeface="+mn-cs"/>
                              </a:rPr>
                              <m:t>𝑅</m:t>
                            </m:r>
                          </m:sub>
                        </m:sSub>
                      </m:num>
                      <m:den>
                        <m:sSub>
                          <m:sSubPr>
                            <m:ctrlPr>
                              <a:rPr lang="de-DE"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a:ea typeface="+mn-ea"/>
                                <a:cs typeface="+mn-cs"/>
                              </a:rPr>
                              <m:t>𝑐</m:t>
                            </m:r>
                          </m:e>
                          <m:sub>
                            <m:r>
                              <a:rPr lang="en-US" sz="1100" b="0" i="1">
                                <a:solidFill>
                                  <a:schemeClr val="tx1"/>
                                </a:solidFill>
                                <a:effectLst/>
                                <a:latin typeface="Cambria Math"/>
                                <a:ea typeface="+mn-ea"/>
                                <a:cs typeface="+mn-cs"/>
                              </a:rPr>
                              <m:t>𝑤</m:t>
                            </m:r>
                          </m:sub>
                        </m:sSub>
                        <m:r>
                          <a:rPr lang="en-US" sz="1100" b="0" i="1">
                            <a:solidFill>
                              <a:schemeClr val="tx1"/>
                            </a:solidFill>
                            <a:effectLst/>
                            <a:latin typeface="Cambria Math"/>
                            <a:ea typeface="+mn-ea"/>
                            <a:cs typeface="+mn-cs"/>
                          </a:rPr>
                          <m:t>∗</m:t>
                        </m:r>
                        <m:r>
                          <a:rPr lang="en-US" sz="1100" b="0" i="1">
                            <a:solidFill>
                              <a:schemeClr val="tx1"/>
                            </a:solidFill>
                            <a:effectLst/>
                            <a:latin typeface="Cambria Math"/>
                            <a:ea typeface="+mn-ea"/>
                            <a:cs typeface="+mn-cs"/>
                          </a:rPr>
                          <m:t>𝐴</m:t>
                        </m:r>
                        <m:r>
                          <a:rPr lang="en-US"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𝜌</m:t>
                        </m:r>
                      </m:den>
                    </m:f>
                    <m:r>
                      <a:rPr lang="de-DE" sz="1100" b="0" i="1">
                        <a:solidFill>
                          <a:schemeClr val="tx1"/>
                        </a:solidFill>
                        <a:effectLst/>
                        <a:latin typeface="Cambria Math"/>
                        <a:ea typeface="+mn-ea"/>
                        <a:cs typeface="+mn-cs"/>
                      </a:rPr>
                      <m:t>𝑣</m:t>
                    </m:r>
                    <m:r>
                      <a:rPr lang="de-DE" sz="1100" b="0" i="1">
                        <a:solidFill>
                          <a:schemeClr val="tx1"/>
                        </a:solidFill>
                        <a:effectLst/>
                        <a:latin typeface="Cambria Math"/>
                        <a:ea typeface="+mn-ea"/>
                        <a:cs typeface="+mn-cs"/>
                      </a:rPr>
                      <m:t>−</m:t>
                    </m:r>
                    <m:f>
                      <m:fPr>
                        <m:ctrlPr>
                          <a:rPr lang="de-DE" sz="1100" b="0" i="1">
                            <a:solidFill>
                              <a:schemeClr val="tx1"/>
                            </a:solidFill>
                            <a:effectLst/>
                            <a:latin typeface="Cambria Math" panose="02040503050406030204" pitchFamily="18" charset="0"/>
                            <a:ea typeface="+mn-ea"/>
                            <a:cs typeface="+mn-cs"/>
                          </a:rPr>
                        </m:ctrlPr>
                      </m:fPr>
                      <m:num>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2∗</m:t>
                            </m:r>
                            <m:r>
                              <a:rPr lang="de-DE" sz="1100" b="0" i="1">
                                <a:solidFill>
                                  <a:schemeClr val="tx1"/>
                                </a:solidFill>
                                <a:effectLst/>
                                <a:latin typeface="Cambria Math"/>
                                <a:ea typeface="+mn-ea"/>
                                <a:cs typeface="+mn-cs"/>
                              </a:rPr>
                              <m:t>𝑃</m:t>
                            </m:r>
                          </m:e>
                          <m:sub>
                            <m:r>
                              <a:rPr lang="de-DE" sz="1100" b="0" i="1">
                                <a:solidFill>
                                  <a:schemeClr val="tx1"/>
                                </a:solidFill>
                                <a:effectLst/>
                                <a:latin typeface="Cambria Math"/>
                                <a:ea typeface="+mn-ea"/>
                                <a:cs typeface="+mn-cs"/>
                              </a:rPr>
                              <m:t>𝑒</m:t>
                            </m:r>
                          </m:sub>
                        </m:sSub>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𝜂</m:t>
                            </m:r>
                          </m:e>
                          <m:sub>
                            <m:r>
                              <a:rPr lang="de-DE" sz="1100" b="0" i="1">
                                <a:solidFill>
                                  <a:schemeClr val="tx1"/>
                                </a:solidFill>
                                <a:effectLst/>
                                <a:latin typeface="Cambria Math"/>
                                <a:ea typeface="+mn-ea"/>
                                <a:cs typeface="+mn-cs"/>
                              </a:rPr>
                              <m:t>𝑇</m:t>
                            </m:r>
                          </m:sub>
                        </m:sSub>
                      </m:num>
                      <m:den>
                        <m:sSub>
                          <m:sSubPr>
                            <m:ctrlPr>
                              <a:rPr lang="de-DE"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a:ea typeface="+mn-ea"/>
                                <a:cs typeface="+mn-cs"/>
                              </a:rPr>
                              <m:t>𝑐</m:t>
                            </m:r>
                          </m:e>
                          <m:sub>
                            <m:r>
                              <a:rPr lang="en-US" sz="1100" b="0" i="1">
                                <a:solidFill>
                                  <a:schemeClr val="tx1"/>
                                </a:solidFill>
                                <a:effectLst/>
                                <a:latin typeface="Cambria Math"/>
                                <a:ea typeface="+mn-ea"/>
                                <a:cs typeface="+mn-cs"/>
                              </a:rPr>
                              <m:t>𝑤</m:t>
                            </m:r>
                          </m:sub>
                        </m:sSub>
                        <m:r>
                          <a:rPr lang="en-US" sz="1100" b="0" i="1">
                            <a:solidFill>
                              <a:schemeClr val="tx1"/>
                            </a:solidFill>
                            <a:effectLst/>
                            <a:latin typeface="Cambria Math"/>
                            <a:ea typeface="+mn-ea"/>
                            <a:cs typeface="+mn-cs"/>
                          </a:rPr>
                          <m:t>∗</m:t>
                        </m:r>
                        <m:r>
                          <a:rPr lang="en-US" sz="1100" b="0" i="1">
                            <a:solidFill>
                              <a:schemeClr val="tx1"/>
                            </a:solidFill>
                            <a:effectLst/>
                            <a:latin typeface="Cambria Math"/>
                            <a:ea typeface="+mn-ea"/>
                            <a:cs typeface="+mn-cs"/>
                          </a:rPr>
                          <m:t>𝐴</m:t>
                        </m:r>
                        <m:r>
                          <a:rPr lang="en-US"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𝜌</m:t>
                        </m:r>
                      </m:den>
                    </m:f>
                  </m:oMath>
                </m:oMathPara>
              </a14:m>
              <a:endParaRPr lang="de-DE" sz="1100" b="0" i="1"/>
            </a:p>
          </xdr:txBody>
        </xdr:sp>
      </mc:Choice>
      <mc:Fallback xmlns="">
        <xdr:sp macro="" textlink="">
          <xdr:nvSpPr>
            <xdr:cNvPr id="57" name="Textfeld 56"/>
            <xdr:cNvSpPr txBox="1"/>
          </xdr:nvSpPr>
          <xdr:spPr>
            <a:xfrm>
              <a:off x="7486650" y="4572000"/>
              <a:ext cx="3162300" cy="453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100" b="0" i="0">
                  <a:solidFill>
                    <a:schemeClr val="tx1"/>
                  </a:solidFill>
                  <a:effectLst/>
                  <a:latin typeface="Cambria Math"/>
                  <a:ea typeface="+mn-ea"/>
                  <a:cs typeface="+mn-cs"/>
                </a:rPr>
                <a:t>0=</a:t>
              </a:r>
              <a:r>
                <a:rPr lang="de-DE" sz="1100" b="0" i="0">
                  <a:solidFill>
                    <a:schemeClr val="tx1"/>
                  </a:solidFill>
                  <a:effectLst/>
                  <a:latin typeface="+mn-lt"/>
                  <a:ea typeface="+mn-ea"/>
                  <a:cs typeface="+mn-cs"/>
                </a:rPr>
                <a:t>𝑣^3</a:t>
              </a:r>
              <a:r>
                <a:rPr lang="de-DE" sz="1100" b="0" i="0">
                  <a:solidFill>
                    <a:schemeClr val="tx1"/>
                  </a:solidFill>
                  <a:effectLst/>
                  <a:latin typeface="Cambria Math"/>
                  <a:ea typeface="+mn-ea"/>
                  <a:cs typeface="+mn-cs"/>
                </a:rPr>
                <a:t>+(2∗</a:t>
              </a:r>
              <a:r>
                <a:rPr lang="de-DE" sz="1100" b="0" i="0">
                  <a:solidFill>
                    <a:schemeClr val="tx1"/>
                  </a:solidFill>
                  <a:effectLst/>
                  <a:latin typeface="+mn-lt"/>
                  <a:ea typeface="+mn-ea"/>
                  <a:cs typeface="+mn-cs"/>
                </a:rPr>
                <a:t>𝑚∗𝑔∗𝑓_𝑅</a:t>
              </a:r>
              <a:r>
                <a:rPr lang="de-DE" sz="1100" b="0" i="0">
                  <a:solidFill>
                    <a:schemeClr val="tx1"/>
                  </a:solidFill>
                  <a:effectLst/>
                  <a:latin typeface="Cambria Math"/>
                  <a:ea typeface="+mn-ea"/>
                  <a:cs typeface="+mn-cs"/>
                </a:rPr>
                <a:t>)/(</a:t>
              </a:r>
              <a:r>
                <a:rPr lang="en-US" sz="1100" b="0" i="0">
                  <a:solidFill>
                    <a:schemeClr val="tx1"/>
                  </a:solidFill>
                  <a:effectLst/>
                  <a:latin typeface="+mn-lt"/>
                  <a:ea typeface="+mn-ea"/>
                  <a:cs typeface="+mn-cs"/>
                </a:rPr>
                <a:t>𝑐</a:t>
              </a:r>
              <a:r>
                <a:rPr lang="de-DE" sz="1100" b="0" i="0">
                  <a:solidFill>
                    <a:schemeClr val="tx1"/>
                  </a:solidFill>
                  <a:effectLst/>
                  <a:latin typeface="+mn-lt"/>
                  <a:ea typeface="+mn-ea"/>
                  <a:cs typeface="+mn-cs"/>
                </a:rPr>
                <a:t>_</a:t>
              </a:r>
              <a:r>
                <a:rPr lang="en-US" sz="1100" b="0" i="0">
                  <a:solidFill>
                    <a:schemeClr val="tx1"/>
                  </a:solidFill>
                  <a:effectLst/>
                  <a:latin typeface="+mn-lt"/>
                  <a:ea typeface="+mn-ea"/>
                  <a:cs typeface="+mn-cs"/>
                </a:rPr>
                <a:t>𝑤∗𝐴∗</a:t>
              </a:r>
              <a:r>
                <a:rPr lang="de-DE" sz="1100" b="0" i="0">
                  <a:solidFill>
                    <a:schemeClr val="tx1"/>
                  </a:solidFill>
                  <a:effectLst/>
                  <a:latin typeface="+mn-lt"/>
                  <a:ea typeface="+mn-ea"/>
                  <a:cs typeface="+mn-cs"/>
                </a:rPr>
                <a:t>𝜌</a:t>
              </a:r>
              <a:r>
                <a:rPr lang="de-DE" sz="1100" b="0" i="0">
                  <a:solidFill>
                    <a:schemeClr val="tx1"/>
                  </a:solidFill>
                  <a:effectLst/>
                  <a:latin typeface="Cambria Math"/>
                  <a:ea typeface="+mn-ea"/>
                  <a:cs typeface="+mn-cs"/>
                </a:rPr>
                <a:t>) 𝑣−(</a:t>
              </a:r>
              <a:r>
                <a:rPr lang="de-DE" sz="1100" b="0" i="0">
                  <a:solidFill>
                    <a:schemeClr val="tx1"/>
                  </a:solidFill>
                  <a:effectLst/>
                  <a:latin typeface="+mn-lt"/>
                  <a:ea typeface="+mn-ea"/>
                  <a:cs typeface="+mn-cs"/>
                </a:rPr>
                <a:t>〖</a:t>
              </a:r>
              <a:r>
                <a:rPr lang="de-DE" sz="1100" b="0" i="0">
                  <a:solidFill>
                    <a:schemeClr val="tx1"/>
                  </a:solidFill>
                  <a:effectLst/>
                  <a:latin typeface="Cambria Math"/>
                  <a:ea typeface="+mn-ea"/>
                  <a:cs typeface="+mn-cs"/>
                </a:rPr>
                <a:t>2∗</a:t>
              </a:r>
              <a:r>
                <a:rPr lang="de-DE" sz="1100" b="0" i="0">
                  <a:solidFill>
                    <a:schemeClr val="tx1"/>
                  </a:solidFill>
                  <a:effectLst/>
                  <a:latin typeface="+mn-lt"/>
                  <a:ea typeface="+mn-ea"/>
                  <a:cs typeface="+mn-cs"/>
                </a:rPr>
                <a:t>𝑃〗_𝑒∗𝜂_𝑇</a:t>
              </a:r>
              <a:r>
                <a:rPr lang="de-DE" sz="1100" b="0" i="0">
                  <a:solidFill>
                    <a:schemeClr val="tx1"/>
                  </a:solidFill>
                  <a:effectLst/>
                  <a:latin typeface="Cambria Math"/>
                  <a:ea typeface="+mn-ea"/>
                  <a:cs typeface="+mn-cs"/>
                </a:rPr>
                <a:t>)/(</a:t>
              </a:r>
              <a:r>
                <a:rPr lang="en-US" sz="1100" b="0" i="0">
                  <a:solidFill>
                    <a:schemeClr val="tx1"/>
                  </a:solidFill>
                  <a:effectLst/>
                  <a:latin typeface="+mn-lt"/>
                  <a:ea typeface="+mn-ea"/>
                  <a:cs typeface="+mn-cs"/>
                </a:rPr>
                <a:t>𝑐</a:t>
              </a:r>
              <a:r>
                <a:rPr lang="de-DE" sz="1100" b="0" i="0">
                  <a:solidFill>
                    <a:schemeClr val="tx1"/>
                  </a:solidFill>
                  <a:effectLst/>
                  <a:latin typeface="+mn-lt"/>
                  <a:ea typeface="+mn-ea"/>
                  <a:cs typeface="+mn-cs"/>
                </a:rPr>
                <a:t>_</a:t>
              </a:r>
              <a:r>
                <a:rPr lang="en-US" sz="1100" b="0" i="0">
                  <a:solidFill>
                    <a:schemeClr val="tx1"/>
                  </a:solidFill>
                  <a:effectLst/>
                  <a:latin typeface="+mn-lt"/>
                  <a:ea typeface="+mn-ea"/>
                  <a:cs typeface="+mn-cs"/>
                </a:rPr>
                <a:t>𝑤∗𝐴∗</a:t>
              </a:r>
              <a:r>
                <a:rPr lang="de-DE" sz="1100" b="0" i="0">
                  <a:solidFill>
                    <a:schemeClr val="tx1"/>
                  </a:solidFill>
                  <a:effectLst/>
                  <a:latin typeface="+mn-lt"/>
                  <a:ea typeface="+mn-ea"/>
                  <a:cs typeface="+mn-cs"/>
                </a:rPr>
                <a:t>𝜌</a:t>
              </a:r>
              <a:r>
                <a:rPr lang="de-DE" sz="1100" b="0" i="0">
                  <a:solidFill>
                    <a:schemeClr val="tx1"/>
                  </a:solidFill>
                  <a:effectLst/>
                  <a:latin typeface="Cambria Math"/>
                  <a:ea typeface="+mn-ea"/>
                  <a:cs typeface="+mn-cs"/>
                </a:rPr>
                <a:t>)</a:t>
              </a:r>
              <a:endParaRPr lang="de-DE" sz="1100" b="0" i="1"/>
            </a:p>
          </xdr:txBody>
        </xdr:sp>
      </mc:Fallback>
    </mc:AlternateContent>
    <xdr:clientData/>
  </xdr:oneCellAnchor>
  <xdr:oneCellAnchor>
    <xdr:from>
      <xdr:col>14</xdr:col>
      <xdr:colOff>714375</xdr:colOff>
      <xdr:row>26</xdr:row>
      <xdr:rowOff>19050</xdr:rowOff>
    </xdr:from>
    <xdr:ext cx="1466850" cy="451598"/>
    <mc:AlternateContent xmlns:mc="http://schemas.openxmlformats.org/markup-compatibility/2006" xmlns:a14="http://schemas.microsoft.com/office/drawing/2010/main">
      <mc:Choice Requires="a14">
        <xdr:sp macro="" textlink="">
          <xdr:nvSpPr>
            <xdr:cNvPr id="58" name="Textfeld 57">
              <a:extLst>
                <a:ext uri="{FF2B5EF4-FFF2-40B4-BE49-F238E27FC236}">
                  <a16:creationId xmlns:a16="http://schemas.microsoft.com/office/drawing/2014/main" id="{00000000-0008-0000-0100-00003A000000}"/>
                </a:ext>
              </a:extLst>
            </xdr:cNvPr>
            <xdr:cNvSpPr txBox="1"/>
          </xdr:nvSpPr>
          <xdr:spPr>
            <a:xfrm>
              <a:off x="7743825" y="5048250"/>
              <a:ext cx="1466850" cy="451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de-DE" sz="1100" b="0" i="1">
                        <a:solidFill>
                          <a:schemeClr val="tx1"/>
                        </a:solidFill>
                        <a:effectLst/>
                        <a:latin typeface="Cambria Math"/>
                        <a:ea typeface="+mn-ea"/>
                        <a:cs typeface="+mn-cs"/>
                      </a:rPr>
                      <m:t>𝑝</m:t>
                    </m:r>
                    <m:r>
                      <a:rPr lang="de-DE" sz="1100" b="0" i="1">
                        <a:solidFill>
                          <a:schemeClr val="tx1"/>
                        </a:solidFill>
                        <a:effectLst/>
                        <a:latin typeface="Cambria Math"/>
                        <a:ea typeface="+mn-ea"/>
                        <a:cs typeface="+mn-cs"/>
                      </a:rPr>
                      <m:t>=</m:t>
                    </m:r>
                    <m:f>
                      <m:fPr>
                        <m:ctrlPr>
                          <a:rPr lang="de-DE" sz="1100" b="0" i="1">
                            <a:solidFill>
                              <a:schemeClr val="tx1"/>
                            </a:solidFill>
                            <a:effectLst/>
                            <a:latin typeface="Cambria Math" panose="02040503050406030204" pitchFamily="18" charset="0"/>
                            <a:ea typeface="+mn-ea"/>
                            <a:cs typeface="+mn-cs"/>
                          </a:rPr>
                        </m:ctrlPr>
                      </m:fPr>
                      <m:num>
                        <m:r>
                          <a:rPr lang="de-DE" sz="1100" b="0" i="1">
                            <a:solidFill>
                              <a:schemeClr val="tx1"/>
                            </a:solidFill>
                            <a:effectLst/>
                            <a:latin typeface="Cambria Math"/>
                            <a:ea typeface="+mn-ea"/>
                            <a:cs typeface="+mn-cs"/>
                          </a:rPr>
                          <m:t>2∗</m:t>
                        </m:r>
                        <m:r>
                          <a:rPr lang="de-DE" sz="1100" b="0" i="1">
                            <a:solidFill>
                              <a:schemeClr val="tx1"/>
                            </a:solidFill>
                            <a:effectLst/>
                            <a:latin typeface="Cambria Math"/>
                            <a:ea typeface="+mn-ea"/>
                            <a:cs typeface="+mn-cs"/>
                          </a:rPr>
                          <m:t>𝑚</m:t>
                        </m:r>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𝑔</m:t>
                        </m:r>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𝑓</m:t>
                            </m:r>
                          </m:e>
                          <m:sub>
                            <m:r>
                              <a:rPr lang="de-DE" sz="1100" b="0" i="1">
                                <a:solidFill>
                                  <a:schemeClr val="tx1"/>
                                </a:solidFill>
                                <a:effectLst/>
                                <a:latin typeface="Cambria Math"/>
                                <a:ea typeface="+mn-ea"/>
                                <a:cs typeface="+mn-cs"/>
                              </a:rPr>
                              <m:t>𝑅</m:t>
                            </m:r>
                          </m:sub>
                        </m:sSub>
                      </m:num>
                      <m:den>
                        <m:sSub>
                          <m:sSubPr>
                            <m:ctrlPr>
                              <a:rPr lang="de-DE"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a:ea typeface="+mn-ea"/>
                                <a:cs typeface="+mn-cs"/>
                              </a:rPr>
                              <m:t>𝑐</m:t>
                            </m:r>
                          </m:e>
                          <m:sub>
                            <m:r>
                              <a:rPr lang="en-US" sz="1100" b="0" i="1">
                                <a:solidFill>
                                  <a:schemeClr val="tx1"/>
                                </a:solidFill>
                                <a:effectLst/>
                                <a:latin typeface="Cambria Math"/>
                                <a:ea typeface="+mn-ea"/>
                                <a:cs typeface="+mn-cs"/>
                              </a:rPr>
                              <m:t>𝑤</m:t>
                            </m:r>
                          </m:sub>
                        </m:sSub>
                        <m:r>
                          <a:rPr lang="en-US" sz="1100" b="0" i="1">
                            <a:solidFill>
                              <a:schemeClr val="tx1"/>
                            </a:solidFill>
                            <a:effectLst/>
                            <a:latin typeface="Cambria Math"/>
                            <a:ea typeface="+mn-ea"/>
                            <a:cs typeface="+mn-cs"/>
                          </a:rPr>
                          <m:t>∗</m:t>
                        </m:r>
                        <m:r>
                          <a:rPr lang="en-US" sz="1100" b="0" i="1">
                            <a:solidFill>
                              <a:schemeClr val="tx1"/>
                            </a:solidFill>
                            <a:effectLst/>
                            <a:latin typeface="Cambria Math"/>
                            <a:ea typeface="+mn-ea"/>
                            <a:cs typeface="+mn-cs"/>
                          </a:rPr>
                          <m:t>𝐴</m:t>
                        </m:r>
                        <m:r>
                          <a:rPr lang="en-US"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𝜌</m:t>
                        </m:r>
                      </m:den>
                    </m:f>
                  </m:oMath>
                </m:oMathPara>
              </a14:m>
              <a:endParaRPr lang="de-DE" sz="1100" b="0" i="1"/>
            </a:p>
          </xdr:txBody>
        </xdr:sp>
      </mc:Choice>
      <mc:Fallback xmlns="">
        <xdr:sp macro="" textlink="">
          <xdr:nvSpPr>
            <xdr:cNvPr id="58" name="Textfeld 57"/>
            <xdr:cNvSpPr txBox="1"/>
          </xdr:nvSpPr>
          <xdr:spPr>
            <a:xfrm>
              <a:off x="7743825" y="5048250"/>
              <a:ext cx="1466850" cy="451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100" b="0" i="0">
                  <a:solidFill>
                    <a:schemeClr val="tx1"/>
                  </a:solidFill>
                  <a:effectLst/>
                  <a:latin typeface="Cambria Math"/>
                  <a:ea typeface="+mn-ea"/>
                  <a:cs typeface="+mn-cs"/>
                </a:rPr>
                <a:t>𝑝=(2∗</a:t>
              </a:r>
              <a:r>
                <a:rPr lang="de-DE" sz="1100" b="0" i="0">
                  <a:solidFill>
                    <a:schemeClr val="tx1"/>
                  </a:solidFill>
                  <a:effectLst/>
                  <a:latin typeface="+mn-lt"/>
                  <a:ea typeface="+mn-ea"/>
                  <a:cs typeface="+mn-cs"/>
                </a:rPr>
                <a:t>𝑚∗𝑔∗𝑓_𝑅</a:t>
              </a:r>
              <a:r>
                <a:rPr lang="de-DE" sz="1100" b="0" i="0">
                  <a:solidFill>
                    <a:schemeClr val="tx1"/>
                  </a:solidFill>
                  <a:effectLst/>
                  <a:latin typeface="Cambria Math"/>
                  <a:ea typeface="+mn-ea"/>
                  <a:cs typeface="+mn-cs"/>
                </a:rPr>
                <a:t>)/(</a:t>
              </a:r>
              <a:r>
                <a:rPr lang="en-US" sz="1100" b="0" i="0">
                  <a:solidFill>
                    <a:schemeClr val="tx1"/>
                  </a:solidFill>
                  <a:effectLst/>
                  <a:latin typeface="+mn-lt"/>
                  <a:ea typeface="+mn-ea"/>
                  <a:cs typeface="+mn-cs"/>
                </a:rPr>
                <a:t>𝑐</a:t>
              </a:r>
              <a:r>
                <a:rPr lang="de-DE" sz="1100" b="0" i="0">
                  <a:solidFill>
                    <a:schemeClr val="tx1"/>
                  </a:solidFill>
                  <a:effectLst/>
                  <a:latin typeface="+mn-lt"/>
                  <a:ea typeface="+mn-ea"/>
                  <a:cs typeface="+mn-cs"/>
                </a:rPr>
                <a:t>_</a:t>
              </a:r>
              <a:r>
                <a:rPr lang="en-US" sz="1100" b="0" i="0">
                  <a:solidFill>
                    <a:schemeClr val="tx1"/>
                  </a:solidFill>
                  <a:effectLst/>
                  <a:latin typeface="+mn-lt"/>
                  <a:ea typeface="+mn-ea"/>
                  <a:cs typeface="+mn-cs"/>
                </a:rPr>
                <a:t>𝑤∗𝐴∗</a:t>
              </a:r>
              <a:r>
                <a:rPr lang="de-DE" sz="1100" b="0" i="0">
                  <a:solidFill>
                    <a:schemeClr val="tx1"/>
                  </a:solidFill>
                  <a:effectLst/>
                  <a:latin typeface="+mn-lt"/>
                  <a:ea typeface="+mn-ea"/>
                  <a:cs typeface="+mn-cs"/>
                </a:rPr>
                <a:t>𝜌</a:t>
              </a:r>
              <a:r>
                <a:rPr lang="de-DE" sz="1100" b="0" i="0">
                  <a:solidFill>
                    <a:schemeClr val="tx1"/>
                  </a:solidFill>
                  <a:effectLst/>
                  <a:latin typeface="Cambria Math"/>
                  <a:ea typeface="+mn-ea"/>
                  <a:cs typeface="+mn-cs"/>
                </a:rPr>
                <a:t>)</a:t>
              </a:r>
              <a:endParaRPr lang="de-DE" sz="1100" b="0" i="1"/>
            </a:p>
          </xdr:txBody>
        </xdr:sp>
      </mc:Fallback>
    </mc:AlternateContent>
    <xdr:clientData/>
  </xdr:oneCellAnchor>
  <xdr:oneCellAnchor>
    <xdr:from>
      <xdr:col>17</xdr:col>
      <xdr:colOff>638175</xdr:colOff>
      <xdr:row>26</xdr:row>
      <xdr:rowOff>47625</xdr:rowOff>
    </xdr:from>
    <xdr:ext cx="1524000" cy="438966"/>
    <mc:AlternateContent xmlns:mc="http://schemas.openxmlformats.org/markup-compatibility/2006" xmlns:a14="http://schemas.microsoft.com/office/drawing/2010/main">
      <mc:Choice Requires="a14">
        <xdr:sp macro="" textlink="">
          <xdr:nvSpPr>
            <xdr:cNvPr id="59" name="Textfeld 58">
              <a:extLst>
                <a:ext uri="{FF2B5EF4-FFF2-40B4-BE49-F238E27FC236}">
                  <a16:creationId xmlns:a16="http://schemas.microsoft.com/office/drawing/2014/main" id="{00000000-0008-0000-0100-00003B000000}"/>
                </a:ext>
              </a:extLst>
            </xdr:cNvPr>
            <xdr:cNvSpPr txBox="1"/>
          </xdr:nvSpPr>
          <xdr:spPr>
            <a:xfrm>
              <a:off x="9191625" y="5076825"/>
              <a:ext cx="1524000" cy="438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de-DE" sz="1100" b="0" i="1">
                        <a:solidFill>
                          <a:schemeClr val="tx1"/>
                        </a:solidFill>
                        <a:effectLst/>
                        <a:latin typeface="Cambria Math"/>
                        <a:ea typeface="+mn-ea"/>
                        <a:cs typeface="+mn-cs"/>
                      </a:rPr>
                      <m:t>𝑞</m:t>
                    </m:r>
                    <m:r>
                      <a:rPr lang="de-DE" sz="1100" b="0" i="1">
                        <a:solidFill>
                          <a:schemeClr val="tx1"/>
                        </a:solidFill>
                        <a:effectLst/>
                        <a:latin typeface="Cambria Math"/>
                        <a:ea typeface="+mn-ea"/>
                        <a:cs typeface="+mn-cs"/>
                      </a:rPr>
                      <m:t>=−</m:t>
                    </m:r>
                    <m:f>
                      <m:fPr>
                        <m:ctrlPr>
                          <a:rPr lang="de-DE" sz="1100" b="0" i="1">
                            <a:solidFill>
                              <a:schemeClr val="tx1"/>
                            </a:solidFill>
                            <a:effectLst/>
                            <a:latin typeface="Cambria Math" panose="02040503050406030204" pitchFamily="18" charset="0"/>
                            <a:ea typeface="+mn-ea"/>
                            <a:cs typeface="+mn-cs"/>
                          </a:rPr>
                        </m:ctrlPr>
                      </m:fPr>
                      <m:num>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2∗</m:t>
                            </m:r>
                            <m:r>
                              <a:rPr lang="de-DE" sz="1100" b="0" i="1">
                                <a:solidFill>
                                  <a:schemeClr val="tx1"/>
                                </a:solidFill>
                                <a:effectLst/>
                                <a:latin typeface="Cambria Math"/>
                                <a:ea typeface="+mn-ea"/>
                                <a:cs typeface="+mn-cs"/>
                              </a:rPr>
                              <m:t>𝑃</m:t>
                            </m:r>
                          </m:e>
                          <m:sub>
                            <m:r>
                              <a:rPr lang="de-DE" sz="1100" b="0" i="1">
                                <a:solidFill>
                                  <a:schemeClr val="tx1"/>
                                </a:solidFill>
                                <a:effectLst/>
                                <a:latin typeface="Cambria Math"/>
                                <a:ea typeface="+mn-ea"/>
                                <a:cs typeface="+mn-cs"/>
                              </a:rPr>
                              <m:t>𝑒</m:t>
                            </m:r>
                          </m:sub>
                        </m:sSub>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𝜂</m:t>
                            </m:r>
                          </m:e>
                          <m:sub>
                            <m:r>
                              <a:rPr lang="de-DE" sz="1100" b="0" i="1">
                                <a:solidFill>
                                  <a:schemeClr val="tx1"/>
                                </a:solidFill>
                                <a:effectLst/>
                                <a:latin typeface="Cambria Math"/>
                                <a:ea typeface="+mn-ea"/>
                                <a:cs typeface="+mn-cs"/>
                              </a:rPr>
                              <m:t>𝑇</m:t>
                            </m:r>
                          </m:sub>
                        </m:sSub>
                      </m:num>
                      <m:den>
                        <m:sSub>
                          <m:sSubPr>
                            <m:ctrlPr>
                              <a:rPr lang="de-DE"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a:ea typeface="+mn-ea"/>
                                <a:cs typeface="+mn-cs"/>
                              </a:rPr>
                              <m:t>𝑐</m:t>
                            </m:r>
                          </m:e>
                          <m:sub>
                            <m:r>
                              <a:rPr lang="en-US" sz="1100" b="0" i="1">
                                <a:solidFill>
                                  <a:schemeClr val="tx1"/>
                                </a:solidFill>
                                <a:effectLst/>
                                <a:latin typeface="Cambria Math"/>
                                <a:ea typeface="+mn-ea"/>
                                <a:cs typeface="+mn-cs"/>
                              </a:rPr>
                              <m:t>𝑤</m:t>
                            </m:r>
                          </m:sub>
                        </m:sSub>
                        <m:r>
                          <a:rPr lang="en-US" sz="1100" b="0" i="1">
                            <a:solidFill>
                              <a:schemeClr val="tx1"/>
                            </a:solidFill>
                            <a:effectLst/>
                            <a:latin typeface="Cambria Math"/>
                            <a:ea typeface="+mn-ea"/>
                            <a:cs typeface="+mn-cs"/>
                          </a:rPr>
                          <m:t>∗</m:t>
                        </m:r>
                        <m:r>
                          <a:rPr lang="en-US" sz="1100" b="0" i="1">
                            <a:solidFill>
                              <a:schemeClr val="tx1"/>
                            </a:solidFill>
                            <a:effectLst/>
                            <a:latin typeface="Cambria Math"/>
                            <a:ea typeface="+mn-ea"/>
                            <a:cs typeface="+mn-cs"/>
                          </a:rPr>
                          <m:t>𝐴</m:t>
                        </m:r>
                        <m:r>
                          <a:rPr lang="en-US"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𝜌</m:t>
                        </m:r>
                      </m:den>
                    </m:f>
                  </m:oMath>
                </m:oMathPara>
              </a14:m>
              <a:endParaRPr lang="de-DE" sz="1100" b="0" i="1"/>
            </a:p>
          </xdr:txBody>
        </xdr:sp>
      </mc:Choice>
      <mc:Fallback xmlns="">
        <xdr:sp macro="" textlink="">
          <xdr:nvSpPr>
            <xdr:cNvPr id="59" name="Textfeld 58"/>
            <xdr:cNvSpPr txBox="1"/>
          </xdr:nvSpPr>
          <xdr:spPr>
            <a:xfrm>
              <a:off x="9191625" y="5076825"/>
              <a:ext cx="1524000" cy="438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de-DE" sz="1100" b="0" i="0">
                  <a:solidFill>
                    <a:schemeClr val="tx1"/>
                  </a:solidFill>
                  <a:effectLst/>
                  <a:latin typeface="Cambria Math"/>
                  <a:ea typeface="+mn-ea"/>
                  <a:cs typeface="+mn-cs"/>
                </a:rPr>
                <a:t>𝑞=−(〖2∗𝑃〗_𝑒∗𝜂_𝑇)/(</a:t>
              </a:r>
              <a:r>
                <a:rPr lang="en-US" sz="1100" b="0" i="0">
                  <a:solidFill>
                    <a:schemeClr val="tx1"/>
                  </a:solidFill>
                  <a:effectLst/>
                  <a:latin typeface="Cambria Math"/>
                  <a:ea typeface="+mn-ea"/>
                  <a:cs typeface="+mn-cs"/>
                </a:rPr>
                <a:t>𝑐</a:t>
              </a:r>
              <a:r>
                <a:rPr lang="de-DE" sz="1100" b="0" i="0">
                  <a:solidFill>
                    <a:schemeClr val="tx1"/>
                  </a:solidFill>
                  <a:effectLst/>
                  <a:latin typeface="Cambria Math"/>
                  <a:ea typeface="+mn-ea"/>
                  <a:cs typeface="+mn-cs"/>
                </a:rPr>
                <a:t>_</a:t>
              </a:r>
              <a:r>
                <a:rPr lang="en-US" sz="1100" b="0" i="0">
                  <a:solidFill>
                    <a:schemeClr val="tx1"/>
                  </a:solidFill>
                  <a:effectLst/>
                  <a:latin typeface="Cambria Math"/>
                  <a:ea typeface="+mn-ea"/>
                  <a:cs typeface="+mn-cs"/>
                </a:rPr>
                <a:t>𝑤∗𝐴∗</a:t>
              </a:r>
              <a:r>
                <a:rPr lang="de-DE" sz="1100" b="0" i="0">
                  <a:solidFill>
                    <a:schemeClr val="tx1"/>
                  </a:solidFill>
                  <a:effectLst/>
                  <a:latin typeface="Cambria Math"/>
                  <a:ea typeface="+mn-ea"/>
                  <a:cs typeface="+mn-cs"/>
                </a:rPr>
                <a:t>𝜌)</a:t>
              </a:r>
              <a:endParaRPr lang="de-DE" sz="1100" b="0" i="1"/>
            </a:p>
          </xdr:txBody>
        </xdr:sp>
      </mc:Fallback>
    </mc:AlternateContent>
    <xdr:clientData/>
  </xdr:oneCellAnchor>
  <xdr:oneCellAnchor>
    <xdr:from>
      <xdr:col>14</xdr:col>
      <xdr:colOff>647699</xdr:colOff>
      <xdr:row>28</xdr:row>
      <xdr:rowOff>185737</xdr:rowOff>
    </xdr:from>
    <xdr:ext cx="2428875" cy="750847"/>
    <mc:AlternateContent xmlns:mc="http://schemas.openxmlformats.org/markup-compatibility/2006" xmlns:a14="http://schemas.microsoft.com/office/drawing/2010/main">
      <mc:Choice Requires="a14">
        <xdr:sp macro="" textlink="">
          <xdr:nvSpPr>
            <xdr:cNvPr id="60" name="Textfeld 59">
              <a:extLst>
                <a:ext uri="{FF2B5EF4-FFF2-40B4-BE49-F238E27FC236}">
                  <a16:creationId xmlns:a16="http://schemas.microsoft.com/office/drawing/2014/main" id="{00000000-0008-0000-0100-00003C000000}"/>
                </a:ext>
              </a:extLst>
            </xdr:cNvPr>
            <xdr:cNvSpPr txBox="1"/>
          </xdr:nvSpPr>
          <xdr:spPr>
            <a:xfrm>
              <a:off x="7677149" y="5595937"/>
              <a:ext cx="2428875" cy="750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a:rPr>
                          <m:t>𝑎</m:t>
                        </m:r>
                      </m:e>
                      <m:sub>
                        <m:r>
                          <a:rPr lang="de-DE" sz="1100" b="0" i="1">
                            <a:latin typeface="Cambria Math"/>
                          </a:rPr>
                          <m:t>1</m:t>
                        </m:r>
                      </m:sub>
                    </m:sSub>
                    <m:r>
                      <a:rPr lang="de-DE" sz="1100" b="0" i="1">
                        <a:latin typeface="Cambria Math"/>
                      </a:rPr>
                      <m:t>=</m:t>
                    </m:r>
                    <m:rad>
                      <m:radPr>
                        <m:ctrlPr>
                          <a:rPr lang="de-DE" sz="1100" i="1">
                            <a:latin typeface="Cambria Math" panose="02040503050406030204" pitchFamily="18" charset="0"/>
                          </a:rPr>
                        </m:ctrlPr>
                      </m:radPr>
                      <m:deg>
                        <m:r>
                          <m:rPr>
                            <m:brk m:alnAt="7"/>
                          </m:rPr>
                          <a:rPr lang="de-DE" sz="1100" b="0" i="1">
                            <a:latin typeface="Cambria Math"/>
                          </a:rPr>
                          <m:t>3</m:t>
                        </m:r>
                      </m:deg>
                      <m:e>
                        <m:r>
                          <a:rPr lang="de-DE" sz="1100" b="0" i="1">
                            <a:latin typeface="Cambria Math"/>
                          </a:rPr>
                          <m:t>−</m:t>
                        </m:r>
                        <m:f>
                          <m:fPr>
                            <m:ctrlPr>
                              <a:rPr lang="de-DE" sz="1100" b="0" i="1">
                                <a:latin typeface="Cambria Math" panose="02040503050406030204" pitchFamily="18" charset="0"/>
                              </a:rPr>
                            </m:ctrlPr>
                          </m:fPr>
                          <m:num>
                            <m:r>
                              <a:rPr lang="de-DE" sz="1100" b="0" i="1">
                                <a:latin typeface="Cambria Math"/>
                              </a:rPr>
                              <m:t>𝑞</m:t>
                            </m:r>
                          </m:num>
                          <m:den>
                            <m:r>
                              <a:rPr lang="de-DE" sz="1100" b="0" i="1">
                                <a:latin typeface="Cambria Math"/>
                              </a:rPr>
                              <m:t>2</m:t>
                            </m:r>
                          </m:den>
                        </m:f>
                        <m:r>
                          <a:rPr lang="de-DE" sz="1100" b="0" i="1">
                            <a:latin typeface="Cambria Math"/>
                          </a:rPr>
                          <m:t>+</m:t>
                        </m:r>
                        <m:rad>
                          <m:radPr>
                            <m:degHide m:val="on"/>
                            <m:ctrlPr>
                              <a:rPr lang="de-DE" sz="1100" b="0" i="1">
                                <a:latin typeface="Cambria Math" panose="02040503050406030204" pitchFamily="18" charset="0"/>
                              </a:rPr>
                            </m:ctrlPr>
                          </m:radPr>
                          <m:deg/>
                          <m:e>
                            <m:sSup>
                              <m:sSupPr>
                                <m:ctrlPr>
                                  <a:rPr lang="de-DE" sz="1100" b="0" i="1">
                                    <a:latin typeface="Cambria Math" panose="02040503050406030204" pitchFamily="18" charset="0"/>
                                  </a:rPr>
                                </m:ctrlPr>
                              </m:sSupPr>
                              <m:e>
                                <m:d>
                                  <m:dPr>
                                    <m:ctrlPr>
                                      <a:rPr lang="de-DE" sz="1100" b="0" i="1">
                                        <a:solidFill>
                                          <a:schemeClr val="tx1"/>
                                        </a:solidFill>
                                        <a:effectLst/>
                                        <a:latin typeface="Cambria Math" panose="02040503050406030204" pitchFamily="18" charset="0"/>
                                        <a:ea typeface="+mn-ea"/>
                                        <a:cs typeface="+mn-cs"/>
                                      </a:rPr>
                                    </m:ctrlPr>
                                  </m:dPr>
                                  <m:e>
                                    <m:f>
                                      <m:fPr>
                                        <m:ctrlPr>
                                          <a:rPr lang="de-DE" sz="1100" b="0" i="1">
                                            <a:solidFill>
                                              <a:schemeClr val="tx1"/>
                                            </a:solidFill>
                                            <a:effectLst/>
                                            <a:latin typeface="Cambria Math" panose="02040503050406030204" pitchFamily="18" charset="0"/>
                                            <a:ea typeface="+mn-ea"/>
                                            <a:cs typeface="+mn-cs"/>
                                          </a:rPr>
                                        </m:ctrlPr>
                                      </m:fPr>
                                      <m:num>
                                        <m:r>
                                          <a:rPr lang="de-DE" sz="1100" b="0" i="1">
                                            <a:solidFill>
                                              <a:schemeClr val="tx1"/>
                                            </a:solidFill>
                                            <a:effectLst/>
                                            <a:latin typeface="Cambria Math"/>
                                            <a:ea typeface="+mn-ea"/>
                                            <a:cs typeface="+mn-cs"/>
                                          </a:rPr>
                                          <m:t>𝑞</m:t>
                                        </m:r>
                                      </m:num>
                                      <m:den>
                                        <m:r>
                                          <a:rPr lang="de-DE" sz="1100" b="0" i="1">
                                            <a:solidFill>
                                              <a:schemeClr val="tx1"/>
                                            </a:solidFill>
                                            <a:effectLst/>
                                            <a:latin typeface="Cambria Math"/>
                                            <a:ea typeface="+mn-ea"/>
                                            <a:cs typeface="+mn-cs"/>
                                          </a:rPr>
                                          <m:t>2</m:t>
                                        </m:r>
                                      </m:den>
                                    </m:f>
                                  </m:e>
                                </m:d>
                              </m:e>
                              <m:sup>
                                <m:r>
                                  <a:rPr lang="de-DE" sz="1100" b="0" i="1">
                                    <a:latin typeface="Cambria Math"/>
                                  </a:rPr>
                                  <m:t>2</m:t>
                                </m:r>
                              </m:sup>
                            </m:sSup>
                            <m:r>
                              <a:rPr lang="de-DE" sz="1100" b="0" i="1">
                                <a:latin typeface="Cambria Math"/>
                              </a:rPr>
                              <m:t>+</m:t>
                            </m:r>
                            <m:sSup>
                              <m:sSupPr>
                                <m:ctrlPr>
                                  <a:rPr lang="de-DE" sz="1100" b="0" i="1">
                                    <a:latin typeface="Cambria Math" panose="02040503050406030204" pitchFamily="18" charset="0"/>
                                  </a:rPr>
                                </m:ctrlPr>
                              </m:sSupPr>
                              <m:e>
                                <m:d>
                                  <m:dPr>
                                    <m:ctrlPr>
                                      <a:rPr lang="de-DE" sz="1100" b="0" i="1">
                                        <a:solidFill>
                                          <a:schemeClr val="tx1"/>
                                        </a:solidFill>
                                        <a:effectLst/>
                                        <a:latin typeface="Cambria Math" panose="02040503050406030204" pitchFamily="18" charset="0"/>
                                        <a:ea typeface="+mn-ea"/>
                                        <a:cs typeface="+mn-cs"/>
                                      </a:rPr>
                                    </m:ctrlPr>
                                  </m:dPr>
                                  <m:e>
                                    <m:f>
                                      <m:fPr>
                                        <m:ctrlPr>
                                          <a:rPr lang="de-DE" sz="1100" b="0" i="1">
                                            <a:solidFill>
                                              <a:schemeClr val="tx1"/>
                                            </a:solidFill>
                                            <a:effectLst/>
                                            <a:latin typeface="Cambria Math" panose="02040503050406030204" pitchFamily="18" charset="0"/>
                                            <a:ea typeface="+mn-ea"/>
                                            <a:cs typeface="+mn-cs"/>
                                          </a:rPr>
                                        </m:ctrlPr>
                                      </m:fPr>
                                      <m:num>
                                        <m:r>
                                          <a:rPr lang="de-DE" sz="1100" b="0" i="1">
                                            <a:solidFill>
                                              <a:schemeClr val="tx1"/>
                                            </a:solidFill>
                                            <a:effectLst/>
                                            <a:latin typeface="Cambria Math"/>
                                            <a:ea typeface="+mn-ea"/>
                                            <a:cs typeface="+mn-cs"/>
                                          </a:rPr>
                                          <m:t>𝑝</m:t>
                                        </m:r>
                                      </m:num>
                                      <m:den>
                                        <m:r>
                                          <a:rPr lang="de-DE" sz="1100" b="0" i="1">
                                            <a:solidFill>
                                              <a:schemeClr val="tx1"/>
                                            </a:solidFill>
                                            <a:effectLst/>
                                            <a:latin typeface="Cambria Math"/>
                                            <a:ea typeface="+mn-ea"/>
                                            <a:cs typeface="+mn-cs"/>
                                          </a:rPr>
                                          <m:t>3</m:t>
                                        </m:r>
                                      </m:den>
                                    </m:f>
                                  </m:e>
                                </m:d>
                              </m:e>
                              <m:sup>
                                <m:r>
                                  <a:rPr lang="de-DE" sz="1100" b="0" i="1">
                                    <a:latin typeface="Cambria Math"/>
                                  </a:rPr>
                                  <m:t>3</m:t>
                                </m:r>
                              </m:sup>
                            </m:sSup>
                          </m:e>
                        </m:rad>
                      </m:e>
                    </m:rad>
                  </m:oMath>
                </m:oMathPara>
              </a14:m>
              <a:endParaRPr lang="de-DE" sz="1100"/>
            </a:p>
          </xdr:txBody>
        </xdr:sp>
      </mc:Choice>
      <mc:Fallback xmlns="">
        <xdr:sp macro="" textlink="">
          <xdr:nvSpPr>
            <xdr:cNvPr id="60" name="Textfeld 59"/>
            <xdr:cNvSpPr txBox="1"/>
          </xdr:nvSpPr>
          <xdr:spPr>
            <a:xfrm>
              <a:off x="7677149" y="5595937"/>
              <a:ext cx="2428875" cy="750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de-DE" sz="1100" b="0" i="0">
                  <a:latin typeface="Cambria Math"/>
                </a:rPr>
                <a:t>𝑎_1=</a:t>
              </a:r>
              <a:r>
                <a:rPr lang="de-DE" sz="1100" i="0">
                  <a:latin typeface="Cambria Math"/>
                </a:rPr>
                <a:t>√(</a:t>
              </a:r>
              <a:r>
                <a:rPr lang="de-DE" sz="1100" b="0" i="0">
                  <a:latin typeface="Cambria Math"/>
                </a:rPr>
                <a:t>3&amp;−𝑞/2+√(</a:t>
              </a:r>
              <a:r>
                <a:rPr lang="de-DE" sz="1100" b="0" i="0">
                  <a:solidFill>
                    <a:schemeClr val="tx1"/>
                  </a:solidFill>
                  <a:effectLst/>
                  <a:latin typeface="+mn-lt"/>
                  <a:ea typeface="+mn-ea"/>
                  <a:cs typeface="+mn-cs"/>
                </a:rPr>
                <a:t>(</a:t>
              </a:r>
              <a:r>
                <a:rPr lang="de-DE" sz="1100" b="0" i="0">
                  <a:solidFill>
                    <a:schemeClr val="tx1"/>
                  </a:solidFill>
                  <a:effectLst/>
                  <a:latin typeface="+mn-lt"/>
                  <a:ea typeface="+mn-ea"/>
                  <a:cs typeface="+mn-cs"/>
                </a:rPr>
                <a:t>𝑞/2)</a:t>
              </a:r>
              <a:r>
                <a:rPr lang="de-DE" sz="1100" b="0" i="0">
                  <a:solidFill>
                    <a:schemeClr val="tx1"/>
                  </a:solidFill>
                  <a:effectLst/>
                  <a:latin typeface="Cambria Math"/>
                  <a:ea typeface="+mn-ea"/>
                  <a:cs typeface="+mn-cs"/>
                </a:rPr>
                <a:t>^</a:t>
              </a:r>
              <a:r>
                <a:rPr lang="de-DE" sz="1100" b="0" i="0">
                  <a:latin typeface="Cambria Math"/>
                </a:rPr>
                <a:t>2+</a:t>
              </a:r>
              <a:r>
                <a:rPr lang="de-DE" sz="1100" b="0" i="0">
                  <a:solidFill>
                    <a:schemeClr val="tx1"/>
                  </a:solidFill>
                  <a:effectLst/>
                  <a:latin typeface="+mn-lt"/>
                  <a:ea typeface="+mn-ea"/>
                  <a:cs typeface="+mn-cs"/>
                </a:rPr>
                <a:t>(</a:t>
              </a:r>
              <a:r>
                <a:rPr lang="de-DE" sz="1100" b="0" i="0">
                  <a:solidFill>
                    <a:schemeClr val="tx1"/>
                  </a:solidFill>
                  <a:effectLst/>
                  <a:latin typeface="+mn-lt"/>
                  <a:ea typeface="+mn-ea"/>
                  <a:cs typeface="+mn-cs"/>
                </a:rPr>
                <a:t>𝑝/3)</a:t>
              </a:r>
              <a:r>
                <a:rPr lang="de-DE" sz="1100" b="0" i="0">
                  <a:solidFill>
                    <a:schemeClr val="tx1"/>
                  </a:solidFill>
                  <a:effectLst/>
                  <a:latin typeface="Cambria Math"/>
                  <a:ea typeface="+mn-ea"/>
                  <a:cs typeface="+mn-cs"/>
                </a:rPr>
                <a:t>^</a:t>
              </a:r>
              <a:r>
                <a:rPr lang="de-DE" sz="1100" b="0" i="0">
                  <a:latin typeface="Cambria Math"/>
                </a:rPr>
                <a:t>3 ))</a:t>
              </a:r>
              <a:endParaRPr lang="de-DE" sz="1100"/>
            </a:p>
          </xdr:txBody>
        </xdr:sp>
      </mc:Fallback>
    </mc:AlternateContent>
    <xdr:clientData/>
  </xdr:oneCellAnchor>
  <xdr:oneCellAnchor>
    <xdr:from>
      <xdr:col>14</xdr:col>
      <xdr:colOff>628649</xdr:colOff>
      <xdr:row>33</xdr:row>
      <xdr:rowOff>90487</xdr:rowOff>
    </xdr:from>
    <xdr:ext cx="2428875" cy="750847"/>
    <mc:AlternateContent xmlns:mc="http://schemas.openxmlformats.org/markup-compatibility/2006" xmlns:a14="http://schemas.microsoft.com/office/drawing/2010/main">
      <mc:Choice Requires="a14">
        <xdr:sp macro="" textlink="">
          <xdr:nvSpPr>
            <xdr:cNvPr id="16" name="Textfeld 15">
              <a:extLst>
                <a:ext uri="{FF2B5EF4-FFF2-40B4-BE49-F238E27FC236}">
                  <a16:creationId xmlns:a16="http://schemas.microsoft.com/office/drawing/2014/main" id="{00000000-0008-0000-0100-000010000000}"/>
                </a:ext>
              </a:extLst>
            </xdr:cNvPr>
            <xdr:cNvSpPr txBox="1"/>
          </xdr:nvSpPr>
          <xdr:spPr>
            <a:xfrm>
              <a:off x="7658099" y="6453187"/>
              <a:ext cx="2428875" cy="750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a:rPr>
                          <m:t>𝑎</m:t>
                        </m:r>
                      </m:e>
                      <m:sub>
                        <m:r>
                          <a:rPr lang="de-DE" sz="1100" b="0" i="1">
                            <a:latin typeface="Cambria Math"/>
                          </a:rPr>
                          <m:t>2</m:t>
                        </m:r>
                      </m:sub>
                    </m:sSub>
                    <m:r>
                      <a:rPr lang="de-DE" sz="1100" b="0" i="1">
                        <a:latin typeface="Cambria Math"/>
                      </a:rPr>
                      <m:t>=</m:t>
                    </m:r>
                    <m:rad>
                      <m:radPr>
                        <m:ctrlPr>
                          <a:rPr lang="de-DE" sz="1100" i="1">
                            <a:latin typeface="Cambria Math" panose="02040503050406030204" pitchFamily="18" charset="0"/>
                          </a:rPr>
                        </m:ctrlPr>
                      </m:radPr>
                      <m:deg>
                        <m:r>
                          <m:rPr>
                            <m:brk m:alnAt="7"/>
                          </m:rPr>
                          <a:rPr lang="de-DE" sz="1100" b="0" i="1">
                            <a:latin typeface="Cambria Math"/>
                          </a:rPr>
                          <m:t>3</m:t>
                        </m:r>
                      </m:deg>
                      <m:e>
                        <m:r>
                          <a:rPr lang="de-DE" sz="1100" b="0" i="1">
                            <a:latin typeface="Cambria Math"/>
                          </a:rPr>
                          <m:t>−</m:t>
                        </m:r>
                        <m:f>
                          <m:fPr>
                            <m:ctrlPr>
                              <a:rPr lang="de-DE" sz="1100" b="0" i="1">
                                <a:latin typeface="Cambria Math" panose="02040503050406030204" pitchFamily="18" charset="0"/>
                              </a:rPr>
                            </m:ctrlPr>
                          </m:fPr>
                          <m:num>
                            <m:r>
                              <a:rPr lang="de-DE" sz="1100" b="0" i="1">
                                <a:latin typeface="Cambria Math"/>
                              </a:rPr>
                              <m:t>𝑞</m:t>
                            </m:r>
                          </m:num>
                          <m:den>
                            <m:r>
                              <a:rPr lang="de-DE" sz="1100" b="0" i="1">
                                <a:latin typeface="Cambria Math"/>
                              </a:rPr>
                              <m:t>2</m:t>
                            </m:r>
                          </m:den>
                        </m:f>
                        <m:r>
                          <a:rPr lang="de-DE" sz="1100" b="0" i="1">
                            <a:latin typeface="Cambria Math" panose="02040503050406030204" pitchFamily="18" charset="0"/>
                          </a:rPr>
                          <m:t>−</m:t>
                        </m:r>
                        <m:rad>
                          <m:radPr>
                            <m:degHide m:val="on"/>
                            <m:ctrlPr>
                              <a:rPr lang="de-DE" sz="1100" b="0" i="1">
                                <a:latin typeface="Cambria Math" panose="02040503050406030204" pitchFamily="18" charset="0"/>
                              </a:rPr>
                            </m:ctrlPr>
                          </m:radPr>
                          <m:deg/>
                          <m:e>
                            <m:sSup>
                              <m:sSupPr>
                                <m:ctrlPr>
                                  <a:rPr lang="de-DE" sz="1100" b="0" i="1">
                                    <a:latin typeface="Cambria Math" panose="02040503050406030204" pitchFamily="18" charset="0"/>
                                  </a:rPr>
                                </m:ctrlPr>
                              </m:sSupPr>
                              <m:e>
                                <m:d>
                                  <m:dPr>
                                    <m:ctrlPr>
                                      <a:rPr lang="de-DE" sz="1100" b="0" i="1">
                                        <a:solidFill>
                                          <a:schemeClr val="tx1"/>
                                        </a:solidFill>
                                        <a:effectLst/>
                                        <a:latin typeface="Cambria Math" panose="02040503050406030204" pitchFamily="18" charset="0"/>
                                        <a:ea typeface="+mn-ea"/>
                                        <a:cs typeface="+mn-cs"/>
                                      </a:rPr>
                                    </m:ctrlPr>
                                  </m:dPr>
                                  <m:e>
                                    <m:f>
                                      <m:fPr>
                                        <m:ctrlPr>
                                          <a:rPr lang="de-DE" sz="1100" b="0" i="1">
                                            <a:solidFill>
                                              <a:schemeClr val="tx1"/>
                                            </a:solidFill>
                                            <a:effectLst/>
                                            <a:latin typeface="Cambria Math" panose="02040503050406030204" pitchFamily="18" charset="0"/>
                                            <a:ea typeface="+mn-ea"/>
                                            <a:cs typeface="+mn-cs"/>
                                          </a:rPr>
                                        </m:ctrlPr>
                                      </m:fPr>
                                      <m:num>
                                        <m:r>
                                          <a:rPr lang="de-DE" sz="1100" b="0" i="1">
                                            <a:solidFill>
                                              <a:schemeClr val="tx1"/>
                                            </a:solidFill>
                                            <a:effectLst/>
                                            <a:latin typeface="Cambria Math"/>
                                            <a:ea typeface="+mn-ea"/>
                                            <a:cs typeface="+mn-cs"/>
                                          </a:rPr>
                                          <m:t>𝑞</m:t>
                                        </m:r>
                                      </m:num>
                                      <m:den>
                                        <m:r>
                                          <a:rPr lang="de-DE" sz="1100" b="0" i="1">
                                            <a:solidFill>
                                              <a:schemeClr val="tx1"/>
                                            </a:solidFill>
                                            <a:effectLst/>
                                            <a:latin typeface="Cambria Math"/>
                                            <a:ea typeface="+mn-ea"/>
                                            <a:cs typeface="+mn-cs"/>
                                          </a:rPr>
                                          <m:t>2</m:t>
                                        </m:r>
                                      </m:den>
                                    </m:f>
                                  </m:e>
                                </m:d>
                              </m:e>
                              <m:sup>
                                <m:r>
                                  <a:rPr lang="de-DE" sz="1100" b="0" i="1">
                                    <a:latin typeface="Cambria Math"/>
                                  </a:rPr>
                                  <m:t>2</m:t>
                                </m:r>
                              </m:sup>
                            </m:sSup>
                            <m:r>
                              <a:rPr lang="de-DE" sz="1100" b="0" i="1">
                                <a:latin typeface="Cambria Math"/>
                              </a:rPr>
                              <m:t>+</m:t>
                            </m:r>
                            <m:sSup>
                              <m:sSupPr>
                                <m:ctrlPr>
                                  <a:rPr lang="de-DE" sz="1100" b="0" i="1">
                                    <a:latin typeface="Cambria Math" panose="02040503050406030204" pitchFamily="18" charset="0"/>
                                  </a:rPr>
                                </m:ctrlPr>
                              </m:sSupPr>
                              <m:e>
                                <m:d>
                                  <m:dPr>
                                    <m:ctrlPr>
                                      <a:rPr lang="de-DE" sz="1100" b="0" i="1">
                                        <a:solidFill>
                                          <a:schemeClr val="tx1"/>
                                        </a:solidFill>
                                        <a:effectLst/>
                                        <a:latin typeface="Cambria Math" panose="02040503050406030204" pitchFamily="18" charset="0"/>
                                        <a:ea typeface="+mn-ea"/>
                                        <a:cs typeface="+mn-cs"/>
                                      </a:rPr>
                                    </m:ctrlPr>
                                  </m:dPr>
                                  <m:e>
                                    <m:f>
                                      <m:fPr>
                                        <m:ctrlPr>
                                          <a:rPr lang="de-DE" sz="1100" b="0" i="1">
                                            <a:solidFill>
                                              <a:schemeClr val="tx1"/>
                                            </a:solidFill>
                                            <a:effectLst/>
                                            <a:latin typeface="Cambria Math" panose="02040503050406030204" pitchFamily="18" charset="0"/>
                                            <a:ea typeface="+mn-ea"/>
                                            <a:cs typeface="+mn-cs"/>
                                          </a:rPr>
                                        </m:ctrlPr>
                                      </m:fPr>
                                      <m:num>
                                        <m:r>
                                          <a:rPr lang="de-DE" sz="1100" b="0" i="1">
                                            <a:solidFill>
                                              <a:schemeClr val="tx1"/>
                                            </a:solidFill>
                                            <a:effectLst/>
                                            <a:latin typeface="Cambria Math"/>
                                            <a:ea typeface="+mn-ea"/>
                                            <a:cs typeface="+mn-cs"/>
                                          </a:rPr>
                                          <m:t>𝑝</m:t>
                                        </m:r>
                                      </m:num>
                                      <m:den>
                                        <m:r>
                                          <a:rPr lang="de-DE" sz="1100" b="0" i="1">
                                            <a:solidFill>
                                              <a:schemeClr val="tx1"/>
                                            </a:solidFill>
                                            <a:effectLst/>
                                            <a:latin typeface="Cambria Math"/>
                                            <a:ea typeface="+mn-ea"/>
                                            <a:cs typeface="+mn-cs"/>
                                          </a:rPr>
                                          <m:t>3</m:t>
                                        </m:r>
                                      </m:den>
                                    </m:f>
                                  </m:e>
                                </m:d>
                              </m:e>
                              <m:sup>
                                <m:r>
                                  <a:rPr lang="de-DE" sz="1100" b="0" i="1">
                                    <a:latin typeface="Cambria Math"/>
                                  </a:rPr>
                                  <m:t>3</m:t>
                                </m:r>
                              </m:sup>
                            </m:sSup>
                          </m:e>
                        </m:rad>
                      </m:e>
                    </m:rad>
                  </m:oMath>
                </m:oMathPara>
              </a14:m>
              <a:endParaRPr lang="de-DE" sz="1100"/>
            </a:p>
          </xdr:txBody>
        </xdr:sp>
      </mc:Choice>
      <mc:Fallback xmlns="">
        <xdr:sp macro="" textlink="">
          <xdr:nvSpPr>
            <xdr:cNvPr id="16" name="Textfeld 15">
              <a:extLst>
                <a:ext uri="{FF2B5EF4-FFF2-40B4-BE49-F238E27FC236}">
                  <a16:creationId xmlns:a16="http://schemas.microsoft.com/office/drawing/2014/main" id="{00000000-0008-0000-0100-000010000000}"/>
                </a:ext>
              </a:extLst>
            </xdr:cNvPr>
            <xdr:cNvSpPr txBox="1"/>
          </xdr:nvSpPr>
          <xdr:spPr>
            <a:xfrm>
              <a:off x="7658099" y="6453187"/>
              <a:ext cx="2428875" cy="750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de-DE" sz="1100" b="0" i="0">
                  <a:latin typeface="Cambria Math"/>
                </a:rPr>
                <a:t>𝑎</a:t>
              </a:r>
              <a:r>
                <a:rPr lang="de-DE" sz="1100" b="0" i="0">
                  <a:latin typeface="Cambria Math" panose="02040503050406030204" pitchFamily="18" charset="0"/>
                </a:rPr>
                <a:t>_</a:t>
              </a:r>
              <a:r>
                <a:rPr lang="de-DE" sz="1100" b="0" i="0">
                  <a:latin typeface="Cambria Math"/>
                </a:rPr>
                <a:t>2=</a:t>
              </a:r>
              <a:r>
                <a:rPr lang="de-DE" sz="1100" i="0">
                  <a:latin typeface="Cambria Math" panose="02040503050406030204" pitchFamily="18" charset="0"/>
                </a:rPr>
                <a:t>∛(</a:t>
              </a:r>
              <a:r>
                <a:rPr lang="de-DE" sz="1100" b="0" i="0">
                  <a:latin typeface="Cambria Math"/>
                </a:rPr>
                <a:t>−𝑞</a:t>
              </a:r>
              <a:r>
                <a:rPr lang="de-DE" sz="1100" b="0" i="0">
                  <a:latin typeface="Cambria Math" panose="02040503050406030204" pitchFamily="18" charset="0"/>
                </a:rPr>
                <a:t>/</a:t>
              </a:r>
              <a:r>
                <a:rPr lang="de-DE" sz="1100" b="0" i="0">
                  <a:latin typeface="Cambria Math"/>
                </a:rPr>
                <a:t>2</a:t>
              </a: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a:ea typeface="+mn-ea"/>
                  <a:cs typeface="+mn-cs"/>
                </a:rPr>
                <a:t>𝑞</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a:ea typeface="+mn-ea"/>
                  <a:cs typeface="+mn-cs"/>
                </a:rPr>
                <a:t>2</a:t>
              </a:r>
              <a:r>
                <a:rPr lang="de-DE" sz="1100" b="0" i="0">
                  <a:solidFill>
                    <a:schemeClr val="tx1"/>
                  </a:solidFill>
                  <a:effectLst/>
                  <a:latin typeface="Cambria Math" panose="02040503050406030204" pitchFamily="18" charset="0"/>
                  <a:ea typeface="+mn-ea"/>
                  <a:cs typeface="+mn-cs"/>
                </a:rPr>
                <a:t>)^</a:t>
              </a:r>
              <a:r>
                <a:rPr lang="de-DE" sz="1100" b="0" i="0">
                  <a:latin typeface="Cambria Math"/>
                </a:rPr>
                <a:t>2+</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a:ea typeface="+mn-ea"/>
                  <a:cs typeface="+mn-cs"/>
                </a:rPr>
                <a:t>𝑝</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a:ea typeface="+mn-ea"/>
                  <a:cs typeface="+mn-cs"/>
                </a:rPr>
                <a:t>3</a:t>
              </a:r>
              <a:r>
                <a:rPr lang="de-DE" sz="1100" b="0" i="0">
                  <a:solidFill>
                    <a:schemeClr val="tx1"/>
                  </a:solidFill>
                  <a:effectLst/>
                  <a:latin typeface="Cambria Math" panose="02040503050406030204" pitchFamily="18" charset="0"/>
                  <a:ea typeface="+mn-ea"/>
                  <a:cs typeface="+mn-cs"/>
                </a:rPr>
                <a:t>)^</a:t>
              </a:r>
              <a:r>
                <a:rPr lang="de-DE" sz="1100" b="0" i="0">
                  <a:latin typeface="Cambria Math"/>
                </a:rPr>
                <a:t>3</a:t>
              </a:r>
              <a:r>
                <a:rPr lang="de-DE" sz="1100" b="0" i="0">
                  <a:latin typeface="Cambria Math" panose="02040503050406030204" pitchFamily="18" charset="0"/>
                </a:rPr>
                <a:t> )) </a:t>
              </a:r>
              <a:endParaRPr lang="de-DE" sz="1100"/>
            </a:p>
          </xdr:txBody>
        </xdr:sp>
      </mc:Fallback>
    </mc:AlternateContent>
    <xdr:clientData/>
  </xdr:oneCellAnchor>
  <xdr:twoCellAnchor>
    <xdr:from>
      <xdr:col>0</xdr:col>
      <xdr:colOff>2</xdr:colOff>
      <xdr:row>20</xdr:row>
      <xdr:rowOff>25855</xdr:rowOff>
    </xdr:from>
    <xdr:to>
      <xdr:col>12</xdr:col>
      <xdr:colOff>851647</xdr:colOff>
      <xdr:row>59</xdr:row>
      <xdr:rowOff>46355</xdr:rowOff>
    </xdr:to>
    <xdr:graphicFrame macro="">
      <xdr:nvGraphicFramePr>
        <xdr:cNvPr id="11" name="Diagramm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694766</xdr:colOff>
      <xdr:row>23</xdr:row>
      <xdr:rowOff>10086</xdr:rowOff>
    </xdr:from>
    <xdr:to>
      <xdr:col>21</xdr:col>
      <xdr:colOff>526677</xdr:colOff>
      <xdr:row>45</xdr:row>
      <xdr:rowOff>22413</xdr:rowOff>
    </xdr:to>
    <xdr:graphicFrame macro="">
      <xdr:nvGraphicFramePr>
        <xdr:cNvPr id="6" name="Diagram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52668</xdr:colOff>
      <xdr:row>13</xdr:row>
      <xdr:rowOff>75079</xdr:rowOff>
    </xdr:from>
    <xdr:ext cx="2381999" cy="187872"/>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9404CFDB-A8D0-D4CD-2D16-17BC0223D53A}"/>
                </a:ext>
              </a:extLst>
            </xdr:cNvPr>
            <xdr:cNvSpPr txBox="1"/>
          </xdr:nvSpPr>
          <xdr:spPr>
            <a:xfrm>
              <a:off x="6764992" y="2977403"/>
              <a:ext cx="2381999"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de-DE" sz="1200" b="0" i="1">
                            <a:latin typeface="Cambria Math" panose="02040503050406030204" pitchFamily="18" charset="0"/>
                          </a:rPr>
                        </m:ctrlPr>
                      </m:funcPr>
                      <m:fName>
                        <m:r>
                          <m:rPr>
                            <m:sty m:val="p"/>
                          </m:rPr>
                          <a:rPr lang="de-DE" sz="1200" b="0" i="0">
                            <a:latin typeface="Cambria Math" panose="02040503050406030204" pitchFamily="18" charset="0"/>
                          </a:rPr>
                          <m:t>cos</m:t>
                        </m:r>
                      </m:fName>
                      <m:e>
                        <m:r>
                          <a:rPr lang="de-DE" sz="1200" b="0" i="1">
                            <a:latin typeface="Cambria Math" panose="02040503050406030204" pitchFamily="18" charset="0"/>
                            <a:ea typeface="Cambria Math" panose="02040503050406030204" pitchFamily="18" charset="0"/>
                          </a:rPr>
                          <m:t>𝛼</m:t>
                        </m:r>
                        <m:r>
                          <a:rPr lang="de-DE" sz="1200" b="0" i="1">
                            <a:latin typeface="Cambria Math" panose="02040503050406030204" pitchFamily="18" charset="0"/>
                            <a:ea typeface="Cambria Math" panose="02040503050406030204" pitchFamily="18" charset="0"/>
                          </a:rPr>
                          <m:t> ∼1 </m:t>
                        </m:r>
                        <m:r>
                          <a:rPr lang="de-DE" sz="1200" b="0" i="1">
                            <a:latin typeface="Cambria Math" panose="02040503050406030204" pitchFamily="18" charset="0"/>
                            <a:ea typeface="Cambria Math" panose="02040503050406030204" pitchFamily="18" charset="0"/>
                          </a:rPr>
                          <m:t>𝑓</m:t>
                        </m:r>
                        <m:r>
                          <a:rPr lang="de-DE" sz="1200" b="0" i="1">
                            <a:latin typeface="Cambria Math" panose="02040503050406030204" pitchFamily="18" charset="0"/>
                            <a:ea typeface="Cambria Math" panose="02040503050406030204" pitchFamily="18" charset="0"/>
                          </a:rPr>
                          <m:t>ü</m:t>
                        </m:r>
                        <m:r>
                          <a:rPr lang="de-DE" sz="1200" b="0" i="1">
                            <a:latin typeface="Cambria Math" panose="02040503050406030204" pitchFamily="18" charset="0"/>
                            <a:ea typeface="Cambria Math" panose="02040503050406030204" pitchFamily="18" charset="0"/>
                          </a:rPr>
                          <m:t>𝑟</m:t>
                        </m:r>
                        <m:r>
                          <a:rPr lang="de-DE" sz="1200" b="0" i="1">
                            <a:latin typeface="Cambria Math" panose="02040503050406030204" pitchFamily="18" charset="0"/>
                            <a:ea typeface="Cambria Math" panose="02040503050406030204" pitchFamily="18" charset="0"/>
                          </a:rPr>
                          <m:t> </m:t>
                        </m:r>
                        <m:r>
                          <a:rPr lang="de-DE" sz="1200" b="0" i="1">
                            <a:latin typeface="Cambria Math" panose="02040503050406030204" pitchFamily="18" charset="0"/>
                            <a:ea typeface="Cambria Math" panose="02040503050406030204" pitchFamily="18" charset="0"/>
                          </a:rPr>
                          <m:t>𝑆𝑡𝑒𝑖𝑔𝑢𝑛𝑔𝑒𝑛</m:t>
                        </m:r>
                        <m:r>
                          <a:rPr lang="de-DE" sz="1200" b="0" i="1">
                            <a:latin typeface="Cambria Math" panose="02040503050406030204" pitchFamily="18" charset="0"/>
                            <a:ea typeface="Cambria Math" panose="02040503050406030204" pitchFamily="18" charset="0"/>
                          </a:rPr>
                          <m:t> </m:t>
                        </m:r>
                        <m:r>
                          <a:rPr lang="de-DE" sz="1200" b="0" i="1">
                            <a:latin typeface="Cambria Math" panose="02040503050406030204" pitchFamily="18" charset="0"/>
                            <a:ea typeface="Cambria Math" panose="02040503050406030204" pitchFamily="18" charset="0"/>
                          </a:rPr>
                          <m:t>𝑏𝑖𝑠</m:t>
                        </m:r>
                        <m:r>
                          <a:rPr lang="de-DE" sz="1200" b="0" i="1">
                            <a:latin typeface="Cambria Math" panose="02040503050406030204" pitchFamily="18" charset="0"/>
                            <a:ea typeface="Cambria Math" panose="02040503050406030204" pitchFamily="18" charset="0"/>
                          </a:rPr>
                          <m:t> 10%</m:t>
                        </m:r>
                      </m:e>
                    </m:func>
                  </m:oMath>
                </m:oMathPara>
              </a14:m>
              <a:endParaRPr lang="de-DE" sz="1200"/>
            </a:p>
          </xdr:txBody>
        </xdr:sp>
      </mc:Choice>
      <mc:Fallback xmlns="">
        <xdr:sp macro="" textlink="">
          <xdr:nvSpPr>
            <xdr:cNvPr id="2" name="Textfeld 1">
              <a:extLst>
                <a:ext uri="{FF2B5EF4-FFF2-40B4-BE49-F238E27FC236}">
                  <a16:creationId xmlns:a16="http://schemas.microsoft.com/office/drawing/2014/main" id="{9404CFDB-A8D0-D4CD-2D16-17BC0223D53A}"/>
                </a:ext>
              </a:extLst>
            </xdr:cNvPr>
            <xdr:cNvSpPr txBox="1"/>
          </xdr:nvSpPr>
          <xdr:spPr>
            <a:xfrm>
              <a:off x="6764992" y="2977403"/>
              <a:ext cx="2381999"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200" b="0" i="0">
                  <a:latin typeface="Cambria Math" panose="02040503050406030204" pitchFamily="18" charset="0"/>
                </a:rPr>
                <a:t>cos⁡〖</a:t>
              </a:r>
              <a:r>
                <a:rPr lang="de-DE" sz="1200" b="0" i="0">
                  <a:latin typeface="Cambria Math" panose="02040503050406030204" pitchFamily="18" charset="0"/>
                  <a:ea typeface="Cambria Math" panose="02040503050406030204" pitchFamily="18" charset="0"/>
                </a:rPr>
                <a:t>𝛼 ∼1 𝑓ü𝑟 𝑆𝑡𝑒𝑖𝑔𝑢𝑛𝑔𝑒𝑛 𝑏𝑖𝑠 10%〗</a:t>
              </a:r>
              <a:endParaRPr lang="de-DE" sz="1200"/>
            </a:p>
          </xdr:txBody>
        </xdr:sp>
      </mc:Fallback>
    </mc:AlternateContent>
    <xdr:clientData/>
  </xdr:oneCellAnchor>
</xdr:wsDr>
</file>

<file path=xl/drawings/drawing3.xml><?xml version="1.0" encoding="utf-8"?>
<c:userShapes xmlns:c="http://schemas.openxmlformats.org/drawingml/2006/chart">
  <cdr:relSizeAnchor xmlns:cdr="http://schemas.openxmlformats.org/drawingml/2006/chartDrawing">
    <cdr:from>
      <cdr:x>0.26065</cdr:x>
      <cdr:y>0.26067</cdr:y>
    </cdr:from>
    <cdr:to>
      <cdr:x>0.7742</cdr:x>
      <cdr:y>0.67223</cdr:y>
    </cdr:to>
    <cdr:grpSp>
      <cdr:nvGrpSpPr>
        <cdr:cNvPr id="8" name="Gruppieren 7">
          <a:extLst xmlns:a="http://schemas.openxmlformats.org/drawingml/2006/main">
            <a:ext uri="{FF2B5EF4-FFF2-40B4-BE49-F238E27FC236}">
              <a16:creationId xmlns:a16="http://schemas.microsoft.com/office/drawing/2014/main" id="{04B7120A-78E8-4C4D-91BD-CCC2BA57B5F8}"/>
            </a:ext>
          </a:extLst>
        </cdr:cNvPr>
        <cdr:cNvGrpSpPr/>
      </cdr:nvGrpSpPr>
      <cdr:grpSpPr>
        <a:xfrm xmlns:a="http://schemas.openxmlformats.org/drawingml/2006/main">
          <a:off x="2641402" y="1934452"/>
          <a:ext cx="5204266" cy="3054219"/>
          <a:chOff x="1593086" y="1242341"/>
          <a:chExt cx="2577059" cy="1908573"/>
        </a:xfrm>
      </cdr:grpSpPr>
      <cdr:sp macro="" textlink="">
        <cdr:nvSpPr>
          <cdr:cNvPr id="2" name="Textfeld 1"/>
          <cdr:cNvSpPr txBox="1"/>
        </cdr:nvSpPr>
        <cdr:spPr>
          <a:xfrm xmlns:a="http://schemas.openxmlformats.org/drawingml/2006/main" rot="21420771">
            <a:off x="1984748" y="1620899"/>
            <a:ext cx="158262" cy="95959"/>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lIns="36000" tIns="0" rIns="36000" bIns="0" rtlCol="0"/>
          <a:lstStyle xmlns:a="http://schemas.openxmlformats.org/drawingml/2006/main"/>
          <a:p xmlns:a="http://schemas.openxmlformats.org/drawingml/2006/main">
            <a:r>
              <a:rPr lang="de-DE" sz="1100"/>
              <a:t>250</a:t>
            </a:r>
          </a:p>
        </cdr:txBody>
      </cdr:sp>
      <cdr:sp macro="" textlink="">
        <cdr:nvSpPr>
          <cdr:cNvPr id="3" name="Textfeld 1"/>
          <cdr:cNvSpPr txBox="1"/>
        </cdr:nvSpPr>
        <cdr:spPr>
          <a:xfrm xmlns:a="http://schemas.openxmlformats.org/drawingml/2006/main">
            <a:off x="2389320" y="1940410"/>
            <a:ext cx="170935" cy="112160"/>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wrap="square" lIns="36000" tIns="0" rIns="3600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de-DE" sz="1100"/>
              <a:t>275</a:t>
            </a:r>
          </a:p>
        </cdr:txBody>
      </cdr:sp>
      <cdr:sp macro="" textlink="">
        <cdr:nvSpPr>
          <cdr:cNvPr id="4" name="Textfeld 1"/>
          <cdr:cNvSpPr txBox="1"/>
        </cdr:nvSpPr>
        <cdr:spPr>
          <a:xfrm xmlns:a="http://schemas.openxmlformats.org/drawingml/2006/main">
            <a:off x="2885251" y="2368538"/>
            <a:ext cx="175435" cy="108495"/>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wrap="square" lIns="36000" tIns="0" rIns="3600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de-DE" sz="1100"/>
              <a:t>300</a:t>
            </a:r>
          </a:p>
        </cdr:txBody>
      </cdr:sp>
      <cdr:sp macro="" textlink="">
        <cdr:nvSpPr>
          <cdr:cNvPr id="5" name="Textfeld 1"/>
          <cdr:cNvSpPr txBox="1"/>
        </cdr:nvSpPr>
        <cdr:spPr>
          <a:xfrm xmlns:a="http://schemas.openxmlformats.org/drawingml/2006/main">
            <a:off x="3374806" y="2603404"/>
            <a:ext cx="181375" cy="104821"/>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wrap="square" lIns="36000" tIns="0" rIns="3600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de-DE" sz="1100"/>
              <a:t>340</a:t>
            </a:r>
          </a:p>
        </cdr:txBody>
      </cdr:sp>
      <cdr:sp macro="" textlink="">
        <cdr:nvSpPr>
          <cdr:cNvPr id="6" name="Textfeld 1"/>
          <cdr:cNvSpPr txBox="1"/>
        </cdr:nvSpPr>
        <cdr:spPr>
          <a:xfrm xmlns:a="http://schemas.openxmlformats.org/drawingml/2006/main">
            <a:off x="4009257" y="3054204"/>
            <a:ext cx="160888" cy="96710"/>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wrap="square" lIns="36000" tIns="0" rIns="3600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de-DE" sz="1100"/>
              <a:t>400</a:t>
            </a:r>
          </a:p>
        </cdr:txBody>
      </cdr:sp>
      <cdr:sp macro="" textlink="">
        <cdr:nvSpPr>
          <cdr:cNvPr id="7" name="Textfeld 1"/>
          <cdr:cNvSpPr txBox="1"/>
        </cdr:nvSpPr>
        <cdr:spPr>
          <a:xfrm xmlns:a="http://schemas.openxmlformats.org/drawingml/2006/main">
            <a:off x="1593086" y="1242341"/>
            <a:ext cx="175497" cy="115649"/>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wrap="square" lIns="36000" tIns="0" rIns="3600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de-DE" sz="1100"/>
              <a:t>190</a:t>
            </a:r>
          </a:p>
        </cdr:txBody>
      </cdr:sp>
    </cdr:grpSp>
  </cdr:relSizeAnchor>
  <cdr:relSizeAnchor xmlns:cdr="http://schemas.openxmlformats.org/drawingml/2006/chartDrawing">
    <cdr:from>
      <cdr:x>0.39144</cdr:x>
      <cdr:y>0.26484</cdr:y>
    </cdr:from>
    <cdr:to>
      <cdr:x>0.45098</cdr:x>
      <cdr:y>0.29431</cdr:y>
    </cdr:to>
    <cdr:sp macro="" textlink="">
      <cdr:nvSpPr>
        <cdr:cNvPr id="10" name="Textfeld 1"/>
        <cdr:cNvSpPr txBox="1"/>
      </cdr:nvSpPr>
      <cdr:spPr>
        <a:xfrm xmlns:a="http://schemas.openxmlformats.org/drawingml/2006/main">
          <a:off x="4132022" y="2037255"/>
          <a:ext cx="628501" cy="226698"/>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wrap="square" lIns="36000" tIns="0" rIns="3600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de-DE" sz="1100"/>
            <a:t>g/kWh</a:t>
          </a: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542925</xdr:colOff>
      <xdr:row>19</xdr:row>
      <xdr:rowOff>85395</xdr:rowOff>
    </xdr:from>
    <xdr:to>
      <xdr:col>5</xdr:col>
      <xdr:colOff>781050</xdr:colOff>
      <xdr:row>20</xdr:row>
      <xdr:rowOff>115930</xdr:rowOff>
    </xdr:to>
    <xdr:sp macro="" textlink="">
      <xdr:nvSpPr>
        <xdr:cNvPr id="14" name="Rechteck 13">
          <a:extLst>
            <a:ext uri="{FF2B5EF4-FFF2-40B4-BE49-F238E27FC236}">
              <a16:creationId xmlns:a16="http://schemas.microsoft.com/office/drawing/2014/main" id="{00000000-0008-0000-0200-00000E000000}"/>
            </a:ext>
          </a:extLst>
        </xdr:cNvPr>
        <xdr:cNvSpPr/>
      </xdr:nvSpPr>
      <xdr:spPr>
        <a:xfrm>
          <a:off x="5148055" y="4019634"/>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de-DE" sz="1100">
            <a:solidFill>
              <a:sysClr val="windowText" lastClr="000000"/>
            </a:solidFill>
          </a:endParaRPr>
        </a:p>
      </xdr:txBody>
    </xdr:sp>
    <xdr:clientData/>
  </xdr:twoCellAnchor>
  <xdr:twoCellAnchor>
    <xdr:from>
      <xdr:col>5</xdr:col>
      <xdr:colOff>76200</xdr:colOff>
      <xdr:row>19</xdr:row>
      <xdr:rowOff>85395</xdr:rowOff>
    </xdr:from>
    <xdr:to>
      <xdr:col>5</xdr:col>
      <xdr:colOff>314325</xdr:colOff>
      <xdr:row>20</xdr:row>
      <xdr:rowOff>115930</xdr:rowOff>
    </xdr:to>
    <xdr:sp macro="" textlink="">
      <xdr:nvSpPr>
        <xdr:cNvPr id="37" name="Rechteck 36">
          <a:extLst>
            <a:ext uri="{FF2B5EF4-FFF2-40B4-BE49-F238E27FC236}">
              <a16:creationId xmlns:a16="http://schemas.microsoft.com/office/drawing/2014/main" id="{00000000-0008-0000-0200-000025000000}"/>
            </a:ext>
          </a:extLst>
        </xdr:cNvPr>
        <xdr:cNvSpPr/>
      </xdr:nvSpPr>
      <xdr:spPr>
        <a:xfrm>
          <a:off x="4681330" y="4019634"/>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de-DE" sz="1100">
              <a:solidFill>
                <a:sysClr val="windowText" lastClr="000000"/>
              </a:solidFill>
            </a:rPr>
            <a:t>x</a:t>
          </a:r>
        </a:p>
      </xdr:txBody>
    </xdr:sp>
    <xdr:clientData/>
  </xdr:twoCellAnchor>
  <xdr:oneCellAnchor>
    <xdr:from>
      <xdr:col>0</xdr:col>
      <xdr:colOff>0</xdr:colOff>
      <xdr:row>30</xdr:row>
      <xdr:rowOff>33337</xdr:rowOff>
    </xdr:from>
    <xdr:ext cx="65" cy="172227"/>
    <xdr:sp macro="" textlink="">
      <xdr:nvSpPr>
        <xdr:cNvPr id="44" name="Textfeld 43">
          <a:extLst>
            <a:ext uri="{FF2B5EF4-FFF2-40B4-BE49-F238E27FC236}">
              <a16:creationId xmlns:a16="http://schemas.microsoft.com/office/drawing/2014/main" id="{00000000-0008-0000-0200-00002C000000}"/>
            </a:ext>
          </a:extLst>
        </xdr:cNvPr>
        <xdr:cNvSpPr txBox="1"/>
      </xdr:nvSpPr>
      <xdr:spPr>
        <a:xfrm>
          <a:off x="847725" y="741521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0</xdr:col>
      <xdr:colOff>0</xdr:colOff>
      <xdr:row>33</xdr:row>
      <xdr:rowOff>138112</xdr:rowOff>
    </xdr:from>
    <xdr:ext cx="65" cy="172227"/>
    <xdr:sp macro="" textlink="">
      <xdr:nvSpPr>
        <xdr:cNvPr id="49" name="Textfeld 48">
          <a:extLst>
            <a:ext uri="{FF2B5EF4-FFF2-40B4-BE49-F238E27FC236}">
              <a16:creationId xmlns:a16="http://schemas.microsoft.com/office/drawing/2014/main" id="{00000000-0008-0000-0200-000031000000}"/>
            </a:ext>
          </a:extLst>
        </xdr:cNvPr>
        <xdr:cNvSpPr txBox="1"/>
      </xdr:nvSpPr>
      <xdr:spPr>
        <a:xfrm>
          <a:off x="1647825" y="80914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twoCellAnchor>
    <xdr:from>
      <xdr:col>5</xdr:col>
      <xdr:colOff>76200</xdr:colOff>
      <xdr:row>5</xdr:row>
      <xdr:rowOff>91934</xdr:rowOff>
    </xdr:from>
    <xdr:to>
      <xdr:col>5</xdr:col>
      <xdr:colOff>314325</xdr:colOff>
      <xdr:row>6</xdr:row>
      <xdr:rowOff>122469</xdr:rowOff>
    </xdr:to>
    <xdr:sp macro="" textlink="">
      <xdr:nvSpPr>
        <xdr:cNvPr id="51" name="Rechteck 50">
          <a:extLst>
            <a:ext uri="{FF2B5EF4-FFF2-40B4-BE49-F238E27FC236}">
              <a16:creationId xmlns:a16="http://schemas.microsoft.com/office/drawing/2014/main" id="{C75AF289-4D79-4700-8B8E-BFC7873BDC7A}"/>
            </a:ext>
          </a:extLst>
        </xdr:cNvPr>
        <xdr:cNvSpPr/>
      </xdr:nvSpPr>
      <xdr:spPr>
        <a:xfrm>
          <a:off x="4681330" y="112726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de-DE" sz="1100">
            <a:solidFill>
              <a:sysClr val="windowText" lastClr="000000"/>
            </a:solidFill>
          </a:endParaRPr>
        </a:p>
        <a:p>
          <a:pPr algn="l"/>
          <a:endParaRPr lang="de-DE" sz="1100">
            <a:solidFill>
              <a:sysClr val="windowText" lastClr="000000"/>
            </a:solidFill>
          </a:endParaRPr>
        </a:p>
      </xdr:txBody>
    </xdr:sp>
    <xdr:clientData/>
  </xdr:twoCellAnchor>
  <xdr:twoCellAnchor>
    <xdr:from>
      <xdr:col>5</xdr:col>
      <xdr:colOff>76200</xdr:colOff>
      <xdr:row>11</xdr:row>
      <xdr:rowOff>92712</xdr:rowOff>
    </xdr:from>
    <xdr:to>
      <xdr:col>5</xdr:col>
      <xdr:colOff>314325</xdr:colOff>
      <xdr:row>12</xdr:row>
      <xdr:rowOff>123247</xdr:rowOff>
    </xdr:to>
    <xdr:sp macro="" textlink="">
      <xdr:nvSpPr>
        <xdr:cNvPr id="53" name="Rechteck 52">
          <a:extLst>
            <a:ext uri="{FF2B5EF4-FFF2-40B4-BE49-F238E27FC236}">
              <a16:creationId xmlns:a16="http://schemas.microsoft.com/office/drawing/2014/main" id="{E5F4D7B6-88F9-4460-8797-4BB90500BBC8}"/>
            </a:ext>
          </a:extLst>
        </xdr:cNvPr>
        <xdr:cNvSpPr/>
      </xdr:nvSpPr>
      <xdr:spPr>
        <a:xfrm>
          <a:off x="4681330" y="278456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de-DE" sz="1100">
              <a:solidFill>
                <a:sysClr val="windowText" lastClr="000000"/>
              </a:solidFill>
            </a:rPr>
            <a:t>x</a:t>
          </a:r>
        </a:p>
      </xdr:txBody>
    </xdr:sp>
    <xdr:clientData/>
  </xdr:twoCellAnchor>
  <xdr:twoCellAnchor>
    <xdr:from>
      <xdr:col>5</xdr:col>
      <xdr:colOff>76200</xdr:colOff>
      <xdr:row>13</xdr:row>
      <xdr:rowOff>93101</xdr:rowOff>
    </xdr:from>
    <xdr:to>
      <xdr:col>5</xdr:col>
      <xdr:colOff>314325</xdr:colOff>
      <xdr:row>14</xdr:row>
      <xdr:rowOff>123636</xdr:rowOff>
    </xdr:to>
    <xdr:sp macro="" textlink="">
      <xdr:nvSpPr>
        <xdr:cNvPr id="60" name="Rechteck 59">
          <a:extLst>
            <a:ext uri="{FF2B5EF4-FFF2-40B4-BE49-F238E27FC236}">
              <a16:creationId xmlns:a16="http://schemas.microsoft.com/office/drawing/2014/main" id="{21A2DF3F-DA85-47A1-B912-F1F4DDCE4844}"/>
            </a:ext>
          </a:extLst>
        </xdr:cNvPr>
        <xdr:cNvSpPr/>
      </xdr:nvSpPr>
      <xdr:spPr>
        <a:xfrm>
          <a:off x="4681330" y="361321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de-DE" sz="1100">
            <a:solidFill>
              <a:sysClr val="windowText" lastClr="000000"/>
            </a:solidFill>
          </a:endParaRPr>
        </a:p>
      </xdr:txBody>
    </xdr:sp>
    <xdr:clientData/>
  </xdr:twoCellAnchor>
  <xdr:twoCellAnchor>
    <xdr:from>
      <xdr:col>5</xdr:col>
      <xdr:colOff>76200</xdr:colOff>
      <xdr:row>15</xdr:row>
      <xdr:rowOff>93296</xdr:rowOff>
    </xdr:from>
    <xdr:to>
      <xdr:col>5</xdr:col>
      <xdr:colOff>314325</xdr:colOff>
      <xdr:row>16</xdr:row>
      <xdr:rowOff>123831</xdr:rowOff>
    </xdr:to>
    <xdr:sp macro="" textlink="">
      <xdr:nvSpPr>
        <xdr:cNvPr id="61" name="Rechteck 60">
          <a:extLst>
            <a:ext uri="{FF2B5EF4-FFF2-40B4-BE49-F238E27FC236}">
              <a16:creationId xmlns:a16="http://schemas.microsoft.com/office/drawing/2014/main" id="{32CB7F27-6A0B-4DCE-8B2C-C5AA2FB98F00}"/>
            </a:ext>
          </a:extLst>
        </xdr:cNvPr>
        <xdr:cNvSpPr/>
      </xdr:nvSpPr>
      <xdr:spPr>
        <a:xfrm>
          <a:off x="4681330" y="4027535"/>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de-DE" sz="1100">
              <a:solidFill>
                <a:sysClr val="windowText" lastClr="000000"/>
              </a:solidFill>
            </a:rPr>
            <a:t>x</a:t>
          </a:r>
        </a:p>
      </xdr:txBody>
    </xdr:sp>
    <xdr:clientData/>
  </xdr:twoCellAnchor>
  <xdr:twoCellAnchor>
    <xdr:from>
      <xdr:col>5</xdr:col>
      <xdr:colOff>542925</xdr:colOff>
      <xdr:row>5</xdr:row>
      <xdr:rowOff>91934</xdr:rowOff>
    </xdr:from>
    <xdr:to>
      <xdr:col>5</xdr:col>
      <xdr:colOff>781050</xdr:colOff>
      <xdr:row>6</xdr:row>
      <xdr:rowOff>122469</xdr:rowOff>
    </xdr:to>
    <xdr:sp macro="" textlink="">
      <xdr:nvSpPr>
        <xdr:cNvPr id="69" name="Rechteck 68">
          <a:extLst>
            <a:ext uri="{FF2B5EF4-FFF2-40B4-BE49-F238E27FC236}">
              <a16:creationId xmlns:a16="http://schemas.microsoft.com/office/drawing/2014/main" id="{4A0D711B-9AC5-49B3-85B8-B89852BB53CB}"/>
            </a:ext>
          </a:extLst>
        </xdr:cNvPr>
        <xdr:cNvSpPr/>
      </xdr:nvSpPr>
      <xdr:spPr>
        <a:xfrm>
          <a:off x="5148055" y="112726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de-DE" sz="1100">
              <a:solidFill>
                <a:sysClr val="windowText" lastClr="000000"/>
              </a:solidFill>
            </a:rPr>
            <a:t>x</a:t>
          </a:r>
        </a:p>
      </xdr:txBody>
    </xdr:sp>
    <xdr:clientData/>
  </xdr:twoCellAnchor>
  <xdr:twoCellAnchor>
    <xdr:from>
      <xdr:col>5</xdr:col>
      <xdr:colOff>542925</xdr:colOff>
      <xdr:row>7</xdr:row>
      <xdr:rowOff>92323</xdr:rowOff>
    </xdr:from>
    <xdr:to>
      <xdr:col>5</xdr:col>
      <xdr:colOff>781050</xdr:colOff>
      <xdr:row>8</xdr:row>
      <xdr:rowOff>122858</xdr:rowOff>
    </xdr:to>
    <xdr:sp macro="" textlink="">
      <xdr:nvSpPr>
        <xdr:cNvPr id="71" name="Rechteck 70">
          <a:extLst>
            <a:ext uri="{FF2B5EF4-FFF2-40B4-BE49-F238E27FC236}">
              <a16:creationId xmlns:a16="http://schemas.microsoft.com/office/drawing/2014/main" id="{9F68004F-AF45-46C6-99DF-976CCAD68ED8}"/>
            </a:ext>
          </a:extLst>
        </xdr:cNvPr>
        <xdr:cNvSpPr/>
      </xdr:nvSpPr>
      <xdr:spPr>
        <a:xfrm>
          <a:off x="5148055" y="195591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de-DE" sz="1100">
              <a:solidFill>
                <a:sysClr val="windowText" lastClr="000000"/>
              </a:solidFill>
            </a:rPr>
            <a:t>x</a:t>
          </a:r>
        </a:p>
      </xdr:txBody>
    </xdr:sp>
    <xdr:clientData/>
  </xdr:twoCellAnchor>
  <xdr:twoCellAnchor>
    <xdr:from>
      <xdr:col>5</xdr:col>
      <xdr:colOff>542925</xdr:colOff>
      <xdr:row>11</xdr:row>
      <xdr:rowOff>92712</xdr:rowOff>
    </xdr:from>
    <xdr:to>
      <xdr:col>5</xdr:col>
      <xdr:colOff>781050</xdr:colOff>
      <xdr:row>12</xdr:row>
      <xdr:rowOff>123247</xdr:rowOff>
    </xdr:to>
    <xdr:sp macro="" textlink="">
      <xdr:nvSpPr>
        <xdr:cNvPr id="72" name="Rechteck 71">
          <a:extLst>
            <a:ext uri="{FF2B5EF4-FFF2-40B4-BE49-F238E27FC236}">
              <a16:creationId xmlns:a16="http://schemas.microsoft.com/office/drawing/2014/main" id="{FB03B26E-C1FE-4C0A-9562-0D38FEFF6EFE}"/>
            </a:ext>
          </a:extLst>
        </xdr:cNvPr>
        <xdr:cNvSpPr/>
      </xdr:nvSpPr>
      <xdr:spPr>
        <a:xfrm>
          <a:off x="5148055" y="278456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de-DE" sz="1100">
            <a:solidFill>
              <a:sysClr val="windowText" lastClr="000000"/>
            </a:solidFill>
          </a:endParaRPr>
        </a:p>
      </xdr:txBody>
    </xdr:sp>
    <xdr:clientData/>
  </xdr:twoCellAnchor>
  <xdr:twoCellAnchor>
    <xdr:from>
      <xdr:col>5</xdr:col>
      <xdr:colOff>542925</xdr:colOff>
      <xdr:row>9</xdr:row>
      <xdr:rowOff>92518</xdr:rowOff>
    </xdr:from>
    <xdr:to>
      <xdr:col>5</xdr:col>
      <xdr:colOff>781050</xdr:colOff>
      <xdr:row>10</xdr:row>
      <xdr:rowOff>123052</xdr:rowOff>
    </xdr:to>
    <xdr:sp macro="" textlink="">
      <xdr:nvSpPr>
        <xdr:cNvPr id="73" name="Rechteck 72">
          <a:extLst>
            <a:ext uri="{FF2B5EF4-FFF2-40B4-BE49-F238E27FC236}">
              <a16:creationId xmlns:a16="http://schemas.microsoft.com/office/drawing/2014/main" id="{7B14103A-6B0D-4986-AF6E-0299312B4996}"/>
            </a:ext>
          </a:extLst>
        </xdr:cNvPr>
        <xdr:cNvSpPr/>
      </xdr:nvSpPr>
      <xdr:spPr>
        <a:xfrm>
          <a:off x="5148055" y="2370235"/>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de-DE" sz="1100">
            <a:solidFill>
              <a:sysClr val="windowText" lastClr="000000"/>
            </a:solidFill>
          </a:endParaRPr>
        </a:p>
      </xdr:txBody>
    </xdr:sp>
    <xdr:clientData/>
  </xdr:twoCellAnchor>
  <xdr:twoCellAnchor>
    <xdr:from>
      <xdr:col>5</xdr:col>
      <xdr:colOff>542925</xdr:colOff>
      <xdr:row>13</xdr:row>
      <xdr:rowOff>93101</xdr:rowOff>
    </xdr:from>
    <xdr:to>
      <xdr:col>5</xdr:col>
      <xdr:colOff>781050</xdr:colOff>
      <xdr:row>14</xdr:row>
      <xdr:rowOff>123636</xdr:rowOff>
    </xdr:to>
    <xdr:sp macro="" textlink="">
      <xdr:nvSpPr>
        <xdr:cNvPr id="75" name="Rechteck 74">
          <a:extLst>
            <a:ext uri="{FF2B5EF4-FFF2-40B4-BE49-F238E27FC236}">
              <a16:creationId xmlns:a16="http://schemas.microsoft.com/office/drawing/2014/main" id="{6794DEA0-B46B-4B32-8815-B6DA76A220AE}"/>
            </a:ext>
          </a:extLst>
        </xdr:cNvPr>
        <xdr:cNvSpPr/>
      </xdr:nvSpPr>
      <xdr:spPr>
        <a:xfrm>
          <a:off x="5148055" y="361321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de-DE" sz="1100">
              <a:solidFill>
                <a:sysClr val="windowText" lastClr="000000"/>
              </a:solidFill>
            </a:rPr>
            <a:t>x</a:t>
          </a:r>
        </a:p>
      </xdr:txBody>
    </xdr:sp>
    <xdr:clientData/>
  </xdr:twoCellAnchor>
  <xdr:twoCellAnchor>
    <xdr:from>
      <xdr:col>5</xdr:col>
      <xdr:colOff>542925</xdr:colOff>
      <xdr:row>15</xdr:row>
      <xdr:rowOff>93296</xdr:rowOff>
    </xdr:from>
    <xdr:to>
      <xdr:col>5</xdr:col>
      <xdr:colOff>781050</xdr:colOff>
      <xdr:row>16</xdr:row>
      <xdr:rowOff>123831</xdr:rowOff>
    </xdr:to>
    <xdr:sp macro="" textlink="">
      <xdr:nvSpPr>
        <xdr:cNvPr id="76" name="Rechteck 75">
          <a:extLst>
            <a:ext uri="{FF2B5EF4-FFF2-40B4-BE49-F238E27FC236}">
              <a16:creationId xmlns:a16="http://schemas.microsoft.com/office/drawing/2014/main" id="{D9768646-E360-407D-9896-3CBCF9F001F5}"/>
            </a:ext>
          </a:extLst>
        </xdr:cNvPr>
        <xdr:cNvSpPr/>
      </xdr:nvSpPr>
      <xdr:spPr>
        <a:xfrm>
          <a:off x="5148055" y="4027535"/>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de-DE" sz="1100">
            <a:solidFill>
              <a:sysClr val="windowText" lastClr="000000"/>
            </a:solidFill>
          </a:endParaRPr>
        </a:p>
      </xdr:txBody>
    </xdr:sp>
    <xdr:clientData/>
  </xdr:twoCellAnchor>
  <xdr:twoCellAnchor>
    <xdr:from>
      <xdr:col>5</xdr:col>
      <xdr:colOff>76200</xdr:colOff>
      <xdr:row>17</xdr:row>
      <xdr:rowOff>93490</xdr:rowOff>
    </xdr:from>
    <xdr:to>
      <xdr:col>5</xdr:col>
      <xdr:colOff>314325</xdr:colOff>
      <xdr:row>18</xdr:row>
      <xdr:rowOff>124025</xdr:rowOff>
    </xdr:to>
    <xdr:sp macro="" textlink="">
      <xdr:nvSpPr>
        <xdr:cNvPr id="77" name="Rechteck 76">
          <a:extLst>
            <a:ext uri="{FF2B5EF4-FFF2-40B4-BE49-F238E27FC236}">
              <a16:creationId xmlns:a16="http://schemas.microsoft.com/office/drawing/2014/main" id="{6D8595C6-FA4B-485E-BB14-0EEC4F14EFBC}"/>
            </a:ext>
          </a:extLst>
        </xdr:cNvPr>
        <xdr:cNvSpPr/>
      </xdr:nvSpPr>
      <xdr:spPr>
        <a:xfrm>
          <a:off x="4681330" y="444186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de-DE" sz="1100">
            <a:solidFill>
              <a:sysClr val="windowText" lastClr="000000"/>
            </a:solidFill>
          </a:endParaRPr>
        </a:p>
      </xdr:txBody>
    </xdr:sp>
    <xdr:clientData/>
  </xdr:twoCellAnchor>
  <xdr:twoCellAnchor>
    <xdr:from>
      <xdr:col>5</xdr:col>
      <xdr:colOff>542925</xdr:colOff>
      <xdr:row>17</xdr:row>
      <xdr:rowOff>93490</xdr:rowOff>
    </xdr:from>
    <xdr:to>
      <xdr:col>5</xdr:col>
      <xdr:colOff>781050</xdr:colOff>
      <xdr:row>18</xdr:row>
      <xdr:rowOff>124025</xdr:rowOff>
    </xdr:to>
    <xdr:sp macro="" textlink="">
      <xdr:nvSpPr>
        <xdr:cNvPr id="79" name="Rechteck 78">
          <a:extLst>
            <a:ext uri="{FF2B5EF4-FFF2-40B4-BE49-F238E27FC236}">
              <a16:creationId xmlns:a16="http://schemas.microsoft.com/office/drawing/2014/main" id="{3F1E5260-176A-40D8-9FEC-4D268F8E4121}"/>
            </a:ext>
          </a:extLst>
        </xdr:cNvPr>
        <xdr:cNvSpPr/>
      </xdr:nvSpPr>
      <xdr:spPr>
        <a:xfrm>
          <a:off x="5148055" y="444186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de-DE" sz="1100">
              <a:solidFill>
                <a:sysClr val="windowText" lastClr="000000"/>
              </a:solidFill>
            </a:rPr>
            <a:t>x</a:t>
          </a:r>
        </a:p>
      </xdr:txBody>
    </xdr:sp>
    <xdr:clientData/>
  </xdr:twoCellAnchor>
  <xdr:twoCellAnchor>
    <xdr:from>
      <xdr:col>5</xdr:col>
      <xdr:colOff>76200</xdr:colOff>
      <xdr:row>7</xdr:row>
      <xdr:rowOff>92323</xdr:rowOff>
    </xdr:from>
    <xdr:to>
      <xdr:col>5</xdr:col>
      <xdr:colOff>314325</xdr:colOff>
      <xdr:row>8</xdr:row>
      <xdr:rowOff>122858</xdr:rowOff>
    </xdr:to>
    <xdr:sp macro="" textlink="">
      <xdr:nvSpPr>
        <xdr:cNvPr id="82" name="Rechteck 81">
          <a:extLst>
            <a:ext uri="{FF2B5EF4-FFF2-40B4-BE49-F238E27FC236}">
              <a16:creationId xmlns:a16="http://schemas.microsoft.com/office/drawing/2014/main" id="{38594EC1-F83B-414E-AF7D-C94962E09447}"/>
            </a:ext>
          </a:extLst>
        </xdr:cNvPr>
        <xdr:cNvSpPr/>
      </xdr:nvSpPr>
      <xdr:spPr>
        <a:xfrm>
          <a:off x="4681330" y="1955910"/>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de-DE" sz="1100">
            <a:solidFill>
              <a:sysClr val="windowText" lastClr="000000"/>
            </a:solidFill>
          </a:endParaRPr>
        </a:p>
      </xdr:txBody>
    </xdr:sp>
    <xdr:clientData/>
  </xdr:twoCellAnchor>
  <xdr:twoCellAnchor>
    <xdr:from>
      <xdr:col>5</xdr:col>
      <xdr:colOff>76200</xdr:colOff>
      <xdr:row>9</xdr:row>
      <xdr:rowOff>92518</xdr:rowOff>
    </xdr:from>
    <xdr:to>
      <xdr:col>5</xdr:col>
      <xdr:colOff>314325</xdr:colOff>
      <xdr:row>10</xdr:row>
      <xdr:rowOff>123052</xdr:rowOff>
    </xdr:to>
    <xdr:sp macro="" textlink="">
      <xdr:nvSpPr>
        <xdr:cNvPr id="83" name="Rechteck 82">
          <a:extLst>
            <a:ext uri="{FF2B5EF4-FFF2-40B4-BE49-F238E27FC236}">
              <a16:creationId xmlns:a16="http://schemas.microsoft.com/office/drawing/2014/main" id="{EC699043-EE0B-4CB9-98C5-E53EB12A578B}"/>
            </a:ext>
          </a:extLst>
        </xdr:cNvPr>
        <xdr:cNvSpPr/>
      </xdr:nvSpPr>
      <xdr:spPr>
        <a:xfrm>
          <a:off x="4681330" y="2370235"/>
          <a:ext cx="238125" cy="237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de-DE" sz="1100">
              <a:solidFill>
                <a:sysClr val="windowText" lastClr="000000"/>
              </a:solidFill>
            </a:rPr>
            <a:t>x</a:t>
          </a:r>
        </a:p>
      </xdr:txBody>
    </xdr:sp>
    <xdr:clientData/>
  </xdr:twoCellAnchor>
  <xdr:twoCellAnchor>
    <xdr:from>
      <xdr:col>2</xdr:col>
      <xdr:colOff>847725</xdr:colOff>
      <xdr:row>30</xdr:row>
      <xdr:rowOff>0</xdr:rowOff>
    </xdr:from>
    <xdr:to>
      <xdr:col>5</xdr:col>
      <xdr:colOff>946703</xdr:colOff>
      <xdr:row>32</xdr:row>
      <xdr:rowOff>19050</xdr:rowOff>
    </xdr:to>
    <xdr:sp macro="" textlink="">
      <xdr:nvSpPr>
        <xdr:cNvPr id="3097" name="Rechteck 3096">
          <a:extLst>
            <a:ext uri="{FF2B5EF4-FFF2-40B4-BE49-F238E27FC236}">
              <a16:creationId xmlns:a16="http://schemas.microsoft.com/office/drawing/2014/main" id="{D8D3B1DB-787F-5414-EBD1-C3F420EAB41A}"/>
            </a:ext>
          </a:extLst>
        </xdr:cNvPr>
        <xdr:cNvSpPr/>
      </xdr:nvSpPr>
      <xdr:spPr>
        <a:xfrm>
          <a:off x="3256915" y="6849110"/>
          <a:ext cx="2981325" cy="400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de-DE"/>
        </a:p>
      </xdr:txBody>
    </xdr:sp>
    <xdr:clientData/>
  </xdr:twoCellAnchor>
  <xdr:twoCellAnchor>
    <xdr:from>
      <xdr:col>4</xdr:col>
      <xdr:colOff>171450</xdr:colOff>
      <xdr:row>41</xdr:row>
      <xdr:rowOff>85725</xdr:rowOff>
    </xdr:from>
    <xdr:to>
      <xdr:col>5</xdr:col>
      <xdr:colOff>67918</xdr:colOff>
      <xdr:row>43</xdr:row>
      <xdr:rowOff>104775</xdr:rowOff>
    </xdr:to>
    <xdr:sp macro="" textlink="">
      <xdr:nvSpPr>
        <xdr:cNvPr id="3103" name="Rechteck 3102">
          <a:extLst>
            <a:ext uri="{FF2B5EF4-FFF2-40B4-BE49-F238E27FC236}">
              <a16:creationId xmlns:a16="http://schemas.microsoft.com/office/drawing/2014/main" id="{31C79346-6295-7FC4-6064-F1C0124A0B30}"/>
            </a:ext>
          </a:extLst>
        </xdr:cNvPr>
        <xdr:cNvSpPr/>
      </xdr:nvSpPr>
      <xdr:spPr>
        <a:xfrm>
          <a:off x="4505325" y="9030335"/>
          <a:ext cx="857250" cy="400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de-DE"/>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xdr:col>
      <xdr:colOff>60379</xdr:colOff>
      <xdr:row>13</xdr:row>
      <xdr:rowOff>154967</xdr:rowOff>
    </xdr:from>
    <xdr:ext cx="1646285" cy="238976"/>
    <mc:AlternateContent xmlns:mc="http://schemas.openxmlformats.org/markup-compatibility/2006" xmlns:a14="http://schemas.microsoft.com/office/drawing/2010/main">
      <mc:Choice Requires="a14">
        <xdr:sp macro="" textlink="">
          <xdr:nvSpPr>
            <xdr:cNvPr id="18" name="Textfeld 17">
              <a:extLst>
                <a:ext uri="{FF2B5EF4-FFF2-40B4-BE49-F238E27FC236}">
                  <a16:creationId xmlns:a16="http://schemas.microsoft.com/office/drawing/2014/main" id="{CC027B55-4D90-40CA-82C0-B3457710C03B}"/>
                </a:ext>
              </a:extLst>
            </xdr:cNvPr>
            <xdr:cNvSpPr txBox="1"/>
          </xdr:nvSpPr>
          <xdr:spPr>
            <a:xfrm>
              <a:off x="60379" y="3144989"/>
              <a:ext cx="1646285" cy="238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𝐿𝑊</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 </m:t>
                      </m:r>
                      <m:r>
                        <a:rPr lang="de-DE" sz="1100" b="0" i="1">
                          <a:solidFill>
                            <a:schemeClr val="tx1"/>
                          </a:solidFill>
                          <a:effectLst/>
                          <a:latin typeface="Cambria Math" panose="02040503050406030204" pitchFamily="18" charset="0"/>
                          <a:ea typeface="Cambria Math" panose="02040503050406030204" pitchFamily="18" charset="0"/>
                          <a:cs typeface="+mn-cs"/>
                        </a:rPr>
                        <m:t>∙</m:t>
                      </m:r>
                      <m:r>
                        <a:rPr lang="de-DE" sz="1100" b="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Cambria Math" panose="02040503050406030204" pitchFamily="18" charset="0"/>
                          <a:cs typeface="+mn-cs"/>
                        </a:rPr>
                        <m:t>𝜌</m:t>
                      </m:r>
                    </m:e>
                    <m:sub>
                      <m:r>
                        <a:rPr lang="de-DE" sz="1100" b="0" i="1">
                          <a:solidFill>
                            <a:schemeClr val="tx1"/>
                          </a:solidFill>
                          <a:effectLst/>
                          <a:latin typeface="Cambria Math" panose="02040503050406030204" pitchFamily="18" charset="0"/>
                          <a:ea typeface="+mn-ea"/>
                          <a:cs typeface="+mn-cs"/>
                        </a:rPr>
                        <m:t>𝐿</m:t>
                      </m:r>
                    </m:sub>
                  </m:sSub>
                  <m:r>
                    <a:rPr lang="de-DE" sz="1100" b="0" i="1">
                      <a:latin typeface="Cambria Math" panose="02040503050406030204" pitchFamily="18" charset="0"/>
                      <a:ea typeface="Cambria Math" panose="02040503050406030204" pitchFamily="18" charset="0"/>
                    </a:rPr>
                    <m:t> ∙ </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𝑐</m:t>
                      </m:r>
                    </m:e>
                    <m:sub>
                      <m:r>
                        <a:rPr lang="de-DE" sz="1100" b="0" i="1">
                          <a:latin typeface="Cambria Math" panose="02040503050406030204" pitchFamily="18" charset="0"/>
                          <a:ea typeface="Cambria Math" panose="02040503050406030204" pitchFamily="18" charset="0"/>
                        </a:rPr>
                        <m:t>𝑤</m:t>
                      </m:r>
                    </m:sub>
                  </m:sSub>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𝐴</m:t>
                  </m:r>
                  <m:r>
                    <a:rPr lang="de-DE" sz="1100" b="0" i="1">
                      <a:latin typeface="Cambria Math" panose="02040503050406030204" pitchFamily="18" charset="0"/>
                      <a:ea typeface="Cambria Math" panose="02040503050406030204" pitchFamily="18" charset="0"/>
                    </a:rPr>
                    <m:t> ∙</m:t>
                  </m:r>
                  <m:sSubSup>
                    <m:sSubSupPr>
                      <m:ctrlPr>
                        <a:rPr lang="de-DE" sz="1100" b="0" i="1">
                          <a:latin typeface="Cambria Math" panose="02040503050406030204" pitchFamily="18" charset="0"/>
                          <a:ea typeface="Cambria Math" panose="02040503050406030204" pitchFamily="18" charset="0"/>
                        </a:rPr>
                      </m:ctrlPr>
                    </m:sSubSupPr>
                    <m:e>
                      <m:r>
                        <a:rPr lang="de-DE" sz="1100" b="0" i="1">
                          <a:latin typeface="Cambria Math" panose="02040503050406030204" pitchFamily="18" charset="0"/>
                          <a:ea typeface="Cambria Math" panose="02040503050406030204" pitchFamily="18" charset="0"/>
                        </a:rPr>
                        <m:t>𝑣</m:t>
                      </m:r>
                    </m:e>
                    <m:sub>
                      <m:r>
                        <a:rPr lang="de-DE" sz="1100" b="0" i="1">
                          <a:latin typeface="Cambria Math" panose="02040503050406030204" pitchFamily="18" charset="0"/>
                          <a:ea typeface="Cambria Math" panose="02040503050406030204" pitchFamily="18" charset="0"/>
                        </a:rPr>
                        <m:t>𝐹</m:t>
                      </m:r>
                    </m:sub>
                    <m:sup>
                      <m:r>
                        <a:rPr lang="de-DE" sz="1100" b="0" i="1">
                          <a:latin typeface="Cambria Math" panose="02040503050406030204" pitchFamily="18" charset="0"/>
                          <a:ea typeface="Cambria Math" panose="02040503050406030204" pitchFamily="18" charset="0"/>
                        </a:rPr>
                        <m:t>2</m:t>
                      </m:r>
                    </m:sup>
                  </m:sSubSup>
                  <m:r>
                    <a:rPr lang="de-DE" sz="1100" b="0" i="1">
                      <a:latin typeface="Cambria Math" panose="02040503050406030204" pitchFamily="18" charset="0"/>
                      <a:ea typeface="Cambria Math" panose="02040503050406030204" pitchFamily="18" charset="0"/>
                    </a:rPr>
                    <m:t> </m:t>
                  </m:r>
                </m:oMath>
              </a14:m>
              <a:r>
                <a:rPr lang="de-DE" sz="1100"/>
                <a:t> </a:t>
              </a:r>
            </a:p>
          </xdr:txBody>
        </xdr:sp>
      </mc:Choice>
      <mc:Fallback xmlns="">
        <xdr:sp macro="" textlink="">
          <xdr:nvSpPr>
            <xdr:cNvPr id="18" name="Textfeld 17">
              <a:extLst>
                <a:ext uri="{FF2B5EF4-FFF2-40B4-BE49-F238E27FC236}">
                  <a16:creationId xmlns:a16="http://schemas.microsoft.com/office/drawing/2014/main" id="{CC027B55-4D90-40CA-82C0-B3457710C03B}"/>
                </a:ext>
              </a:extLst>
            </xdr:cNvPr>
            <xdr:cNvSpPr txBox="1"/>
          </xdr:nvSpPr>
          <xdr:spPr>
            <a:xfrm>
              <a:off x="60379" y="3144989"/>
              <a:ext cx="1646285" cy="238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𝐹_𝐿𝑊=1/2</a:t>
              </a:r>
              <a:r>
                <a:rPr lang="de-DE" sz="1100" b="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panose="02040503050406030204" pitchFamily="18" charset="0"/>
                  <a:ea typeface="+mn-ea"/>
                  <a:cs typeface="+mn-cs"/>
                </a:rPr>
                <a:t> </a:t>
              </a:r>
              <a:r>
                <a:rPr lang="de-DE" sz="1100" b="0" i="0">
                  <a:solidFill>
                    <a:schemeClr val="tx1"/>
                  </a:solidFill>
                  <a:effectLst/>
                  <a:latin typeface="Cambria Math" panose="02040503050406030204" pitchFamily="18" charset="0"/>
                  <a:ea typeface="Cambria Math" panose="02040503050406030204" pitchFamily="18" charset="0"/>
                  <a:cs typeface="+mn-cs"/>
                </a:rPr>
                <a:t>∙</a:t>
              </a:r>
              <a:r>
                <a:rPr lang="de-DE" sz="1100" b="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Cambria Math" panose="02040503050406030204" pitchFamily="18" charset="0"/>
                  <a:cs typeface="+mn-cs"/>
                </a:rPr>
                <a:t>𝜌</a:t>
              </a:r>
              <a:r>
                <a:rPr lang="de-DE" sz="1100" i="0">
                  <a:solidFill>
                    <a:schemeClr val="tx1"/>
                  </a:solidFill>
                  <a:effectLst/>
                  <a:latin typeface="Cambria Math" panose="02040503050406030204" pitchFamily="18" charset="0"/>
                  <a:ea typeface="+mn-ea"/>
                  <a:cs typeface="+mn-cs"/>
                </a:rPr>
                <a:t>〗_</a:t>
              </a:r>
              <a:r>
                <a:rPr lang="de-DE" sz="1100" b="0" i="0">
                  <a:solidFill>
                    <a:schemeClr val="tx1"/>
                  </a:solidFill>
                  <a:effectLst/>
                  <a:latin typeface="Cambria Math" panose="02040503050406030204" pitchFamily="18" charset="0"/>
                  <a:ea typeface="+mn-ea"/>
                  <a:cs typeface="+mn-cs"/>
                </a:rPr>
                <a:t>𝐿</a:t>
              </a:r>
              <a:r>
                <a:rPr lang="de-DE" sz="1100" b="0" i="0">
                  <a:solidFill>
                    <a:schemeClr val="tx1"/>
                  </a:solidFill>
                  <a:effectLst/>
                  <a:latin typeface="Cambria Math" panose="02040503050406030204" pitchFamily="18" charset="0"/>
                  <a:ea typeface="Cambria Math" panose="02040503050406030204" pitchFamily="18" charset="0"/>
                  <a:cs typeface="+mn-cs"/>
                </a:rPr>
                <a:t> </a:t>
              </a:r>
              <a:r>
                <a:rPr lang="de-DE" sz="1100" b="0" i="0">
                  <a:latin typeface="Cambria Math" panose="02040503050406030204" pitchFamily="18" charset="0"/>
                  <a:ea typeface="Cambria Math" panose="02040503050406030204" pitchFamily="18" charset="0"/>
                </a:rPr>
                <a:t> ∙ 𝑐_𝑤∙𝐴 ∙𝑣_𝐹^2  </a:t>
              </a:r>
              <a:r>
                <a:rPr lang="de-DE" sz="1100"/>
                <a:t> </a:t>
              </a:r>
            </a:p>
          </xdr:txBody>
        </xdr:sp>
      </mc:Fallback>
    </mc:AlternateContent>
    <xdr:clientData/>
  </xdr:oneCellAnchor>
  <xdr:oneCellAnchor>
    <xdr:from>
      <xdr:col>1</xdr:col>
      <xdr:colOff>0</xdr:colOff>
      <xdr:row>18</xdr:row>
      <xdr:rowOff>0</xdr:rowOff>
    </xdr:from>
    <xdr:ext cx="966162" cy="172227"/>
    <mc:AlternateContent xmlns:mc="http://schemas.openxmlformats.org/markup-compatibility/2006" xmlns:a14="http://schemas.microsoft.com/office/drawing/2010/main">
      <mc:Choice Requires="a14">
        <xdr:sp macro="" textlink="">
          <xdr:nvSpPr>
            <xdr:cNvPr id="20" name="Textfeld 19">
              <a:extLst>
                <a:ext uri="{FF2B5EF4-FFF2-40B4-BE49-F238E27FC236}">
                  <a16:creationId xmlns:a16="http://schemas.microsoft.com/office/drawing/2014/main" id="{1209DD0B-3AD0-4ABC-8CF7-1EFBBCDF4BF8}"/>
                </a:ext>
              </a:extLst>
            </xdr:cNvPr>
            <xdr:cNvSpPr txBox="1"/>
          </xdr:nvSpPr>
          <xdr:spPr>
            <a:xfrm>
              <a:off x="762000" y="3627783"/>
              <a:ext cx="96616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𝑅</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𝑓</m:t>
                        </m:r>
                      </m:e>
                      <m:sub>
                        <m:r>
                          <a:rPr lang="de-DE" sz="1100" b="0" i="1">
                            <a:latin typeface="Cambria Math" panose="02040503050406030204" pitchFamily="18" charset="0"/>
                          </a:rPr>
                          <m:t>𝑅</m:t>
                        </m:r>
                      </m:sub>
                    </m:sSub>
                  </m:oMath>
                </m:oMathPara>
              </a14:m>
              <a:endParaRPr lang="de-DE" sz="1100"/>
            </a:p>
          </xdr:txBody>
        </xdr:sp>
      </mc:Choice>
      <mc:Fallback xmlns="">
        <xdr:sp macro="" textlink="">
          <xdr:nvSpPr>
            <xdr:cNvPr id="20" name="Textfeld 19">
              <a:extLst>
                <a:ext uri="{FF2B5EF4-FFF2-40B4-BE49-F238E27FC236}">
                  <a16:creationId xmlns:a16="http://schemas.microsoft.com/office/drawing/2014/main" id="{1209DD0B-3AD0-4ABC-8CF7-1EFBBCDF4BF8}"/>
                </a:ext>
              </a:extLst>
            </xdr:cNvPr>
            <xdr:cNvSpPr txBox="1"/>
          </xdr:nvSpPr>
          <xdr:spPr>
            <a:xfrm>
              <a:off x="762000" y="3627783"/>
              <a:ext cx="96616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𝐹_𝑅=𝑚∗𝑔∗𝑓_𝑅</a:t>
              </a:r>
              <a:endParaRPr lang="de-DE" sz="1100"/>
            </a:p>
          </xdr:txBody>
        </xdr:sp>
      </mc:Fallback>
    </mc:AlternateContent>
    <xdr:clientData/>
  </xdr:oneCellAnchor>
  <xdr:oneCellAnchor>
    <xdr:from>
      <xdr:col>1</xdr:col>
      <xdr:colOff>23191</xdr:colOff>
      <xdr:row>44</xdr:row>
      <xdr:rowOff>183872</xdr:rowOff>
    </xdr:from>
    <xdr:ext cx="823302" cy="172227"/>
    <mc:AlternateContent xmlns:mc="http://schemas.openxmlformats.org/markup-compatibility/2006" xmlns:a14="http://schemas.microsoft.com/office/drawing/2010/main">
      <mc:Choice Requires="a14">
        <xdr:sp macro="" textlink="">
          <xdr:nvSpPr>
            <xdr:cNvPr id="33" name="Textfeld 32">
              <a:extLst>
                <a:ext uri="{FF2B5EF4-FFF2-40B4-BE49-F238E27FC236}">
                  <a16:creationId xmlns:a16="http://schemas.microsoft.com/office/drawing/2014/main" id="{5F1DDBF5-27A5-4435-8E3A-79A22DE3BA8E}"/>
                </a:ext>
              </a:extLst>
            </xdr:cNvPr>
            <xdr:cNvSpPr txBox="1"/>
          </xdr:nvSpPr>
          <xdr:spPr>
            <a:xfrm>
              <a:off x="785191" y="9344437"/>
              <a:ext cx="8233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solidFill>
                              <a:schemeClr val="tx1"/>
                            </a:solidFill>
                            <a:effectLst/>
                            <a:latin typeface="Cambria Math" panose="02040503050406030204" pitchFamily="18" charset="0"/>
                            <a:ea typeface="+mn-ea"/>
                            <a:cs typeface="+mn-cs"/>
                          </a:rPr>
                        </m:ctrlPr>
                      </m:sSubPr>
                      <m:e>
                        <m:sSub>
                          <m:sSubPr>
                            <m:ctrlPr>
                              <a:rPr lang="de-DE" sz="1100" i="1">
                                <a:solidFill>
                                  <a:schemeClr val="tx1"/>
                                </a:solidFill>
                                <a:effectLst/>
                                <a:latin typeface="Cambria Math" panose="02040503050406030204" pitchFamily="18" charset="0"/>
                                <a:ea typeface="+mn-ea"/>
                                <a:cs typeface="+mn-cs"/>
                              </a:rPr>
                            </m:ctrlPr>
                          </m:sSubPr>
                          <m:e>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𝑃</m:t>
                                </m:r>
                              </m:e>
                              <m:sub>
                                <m:r>
                                  <a:rPr lang="de-DE" sz="1100" b="0" i="1">
                                    <a:solidFill>
                                      <a:schemeClr val="tx1"/>
                                    </a:solidFill>
                                    <a:effectLst/>
                                    <a:latin typeface="Cambria Math" panose="02040503050406030204" pitchFamily="18" charset="0"/>
                                    <a:ea typeface="+mn-ea"/>
                                    <a:cs typeface="+mn-cs"/>
                                  </a:rPr>
                                  <m:t>𝑁</m:t>
                                </m:r>
                              </m:sub>
                            </m:sSub>
                            <m:r>
                              <a:rPr lang="de-DE" sz="1100" b="0" i="1">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𝑍</m:t>
                            </m:r>
                          </m:sub>
                        </m:sSub>
                        <m:r>
                          <a:rPr lang="de-DE" sz="1100" b="0" i="1">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oMath>
                </m:oMathPara>
              </a14:m>
              <a:endParaRPr lang="de-DE" sz="1100" b="0">
                <a:solidFill>
                  <a:schemeClr val="tx1"/>
                </a:solidFill>
                <a:effectLst/>
                <a:ea typeface="+mn-ea"/>
                <a:cs typeface="+mn-cs"/>
              </a:endParaRPr>
            </a:p>
          </xdr:txBody>
        </xdr:sp>
      </mc:Choice>
      <mc:Fallback xmlns="">
        <xdr:sp macro="" textlink="">
          <xdr:nvSpPr>
            <xdr:cNvPr id="33" name="Textfeld 32">
              <a:extLst>
                <a:ext uri="{FF2B5EF4-FFF2-40B4-BE49-F238E27FC236}">
                  <a16:creationId xmlns:a16="http://schemas.microsoft.com/office/drawing/2014/main" id="{5F1DDBF5-27A5-4435-8E3A-79A22DE3BA8E}"/>
                </a:ext>
              </a:extLst>
            </xdr:cNvPr>
            <xdr:cNvSpPr txBox="1"/>
          </xdr:nvSpPr>
          <xdr:spPr>
            <a:xfrm>
              <a:off x="785191" y="9344437"/>
              <a:ext cx="8233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panose="02040503050406030204" pitchFamily="18" charset="0"/>
                  <a:ea typeface="+mn-ea"/>
                  <a:cs typeface="+mn-cs"/>
                </a:rPr>
                <a:t>𝑃_𝑁=𝐹〗_𝑍∗𝑣〗_𝑡ℎ</a:t>
              </a:r>
              <a:endParaRPr lang="de-DE" sz="1100" b="0">
                <a:solidFill>
                  <a:schemeClr val="tx1"/>
                </a:solidFill>
                <a:effectLst/>
                <a:ea typeface="+mn-ea"/>
                <a:cs typeface="+mn-cs"/>
              </a:endParaRPr>
            </a:p>
          </xdr:txBody>
        </xdr:sp>
      </mc:Fallback>
    </mc:AlternateContent>
    <xdr:clientData/>
  </xdr:oneCellAnchor>
  <xdr:oneCellAnchor>
    <xdr:from>
      <xdr:col>2</xdr:col>
      <xdr:colOff>101875</xdr:colOff>
      <xdr:row>49</xdr:row>
      <xdr:rowOff>0</xdr:rowOff>
    </xdr:from>
    <xdr:ext cx="65" cy="172227"/>
    <xdr:sp macro="" textlink="">
      <xdr:nvSpPr>
        <xdr:cNvPr id="6" name="Textfeld 5">
          <a:extLst>
            <a:ext uri="{FF2B5EF4-FFF2-40B4-BE49-F238E27FC236}">
              <a16:creationId xmlns:a16="http://schemas.microsoft.com/office/drawing/2014/main" id="{500A784D-21E3-CD58-27D9-EBC98E16E22C}"/>
            </a:ext>
          </a:extLst>
        </xdr:cNvPr>
        <xdr:cNvSpPr txBox="1"/>
      </xdr:nvSpPr>
      <xdr:spPr>
        <a:xfrm>
          <a:off x="2818571" y="142527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0</xdr:col>
      <xdr:colOff>193813</xdr:colOff>
      <xdr:row>37</xdr:row>
      <xdr:rowOff>11595</xdr:rowOff>
    </xdr:from>
    <xdr:ext cx="1209818" cy="172227"/>
    <mc:AlternateContent xmlns:mc="http://schemas.openxmlformats.org/markup-compatibility/2006" xmlns:a14="http://schemas.microsoft.com/office/drawing/2010/main">
      <mc:Choice Requires="a14">
        <xdr:sp macro="" textlink="">
          <xdr:nvSpPr>
            <xdr:cNvPr id="7" name="Textfeld 6">
              <a:extLst>
                <a:ext uri="{FF2B5EF4-FFF2-40B4-BE49-F238E27FC236}">
                  <a16:creationId xmlns:a16="http://schemas.microsoft.com/office/drawing/2014/main" id="{B675F575-7802-470F-AADE-2EF2EA491840}"/>
                </a:ext>
              </a:extLst>
            </xdr:cNvPr>
            <xdr:cNvSpPr txBox="1"/>
          </xdr:nvSpPr>
          <xdr:spPr>
            <a:xfrm>
              <a:off x="193813" y="7855225"/>
              <a:ext cx="1209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i="1">
                            <a:latin typeface="Cambria Math" panose="02040503050406030204" pitchFamily="18" charset="0"/>
                            <a:ea typeface="Cambria Math" panose="02040503050406030204" pitchFamily="18" charset="0"/>
                          </a:rPr>
                          <m:t>𝜆</m:t>
                        </m:r>
                      </m:e>
                      <m:sub>
                        <m:r>
                          <a:rPr lang="de-DE" sz="1100" b="0" i="1">
                            <a:latin typeface="Cambria Math" panose="02040503050406030204" pitchFamily="18" charset="0"/>
                          </a:rPr>
                          <m:t>𝐴</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𝐹</m:t>
                        </m:r>
                      </m:sub>
                    </m:sSub>
                  </m:oMath>
                </m:oMathPara>
              </a14:m>
              <a:endParaRPr lang="de-DE" sz="1100"/>
            </a:p>
          </xdr:txBody>
        </xdr:sp>
      </mc:Choice>
      <mc:Fallback xmlns="">
        <xdr:sp macro="" textlink="">
          <xdr:nvSpPr>
            <xdr:cNvPr id="7" name="Textfeld 6">
              <a:extLst>
                <a:ext uri="{FF2B5EF4-FFF2-40B4-BE49-F238E27FC236}">
                  <a16:creationId xmlns:a16="http://schemas.microsoft.com/office/drawing/2014/main" id="{B675F575-7802-470F-AADE-2EF2EA491840}"/>
                </a:ext>
              </a:extLst>
            </xdr:cNvPr>
            <xdr:cNvSpPr txBox="1"/>
          </xdr:nvSpPr>
          <xdr:spPr>
            <a:xfrm>
              <a:off x="193813" y="7855225"/>
              <a:ext cx="1209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latin typeface="Cambria Math" panose="02040503050406030204" pitchFamily="18" charset="0"/>
                  <a:ea typeface="Cambria Math" panose="02040503050406030204" pitchFamily="18" charset="0"/>
                </a:rPr>
                <a:t>𝜆_</a:t>
              </a:r>
              <a:r>
                <a:rPr lang="de-DE" sz="1100" b="0" i="0">
                  <a:latin typeface="Cambria Math" panose="02040503050406030204" pitchFamily="18" charset="0"/>
                </a:rPr>
                <a:t>𝐴∗</a:t>
              </a:r>
              <a:r>
                <a:rPr lang="de-DE" sz="1100" b="0" i="0">
                  <a:solidFill>
                    <a:schemeClr val="tx1"/>
                  </a:solidFill>
                  <a:effectLst/>
                  <a:latin typeface="Cambria Math" panose="02040503050406030204" pitchFamily="18" charset="0"/>
                  <a:ea typeface="+mn-ea"/>
                  <a:cs typeface="+mn-cs"/>
                </a:rPr>
                <a:t>𝑣_𝑡ℎ</a:t>
              </a: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𝑣_𝑡ℎ− 𝑣_𝐹</a:t>
              </a:r>
              <a:endParaRPr lang="de-DE" sz="1100"/>
            </a:p>
          </xdr:txBody>
        </xdr:sp>
      </mc:Fallback>
    </mc:AlternateContent>
    <xdr:clientData/>
  </xdr:oneCellAnchor>
  <xdr:oneCellAnchor>
    <xdr:from>
      <xdr:col>1</xdr:col>
      <xdr:colOff>0</xdr:colOff>
      <xdr:row>22</xdr:row>
      <xdr:rowOff>8283</xdr:rowOff>
    </xdr:from>
    <xdr:ext cx="944682" cy="172227"/>
    <mc:AlternateContent xmlns:mc="http://schemas.openxmlformats.org/markup-compatibility/2006" xmlns:a14="http://schemas.microsoft.com/office/drawing/2010/main">
      <mc:Choice Requires="a14">
        <xdr:sp macro="" textlink="">
          <xdr:nvSpPr>
            <xdr:cNvPr id="10" name="Textfeld 9">
              <a:extLst>
                <a:ext uri="{FF2B5EF4-FFF2-40B4-BE49-F238E27FC236}">
                  <a16:creationId xmlns:a16="http://schemas.microsoft.com/office/drawing/2014/main" id="{9B5D4760-E93C-4EA8-8648-0F0F9DC7D303}"/>
                </a:ext>
              </a:extLst>
            </xdr:cNvPr>
            <xdr:cNvSpPr txBox="1"/>
          </xdr:nvSpPr>
          <xdr:spPr>
            <a:xfrm>
              <a:off x="0" y="5234609"/>
              <a:ext cx="94468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𝑆𝑡</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r>
                      <a:rPr lang="de-DE" sz="1100" b="0" i="1">
                        <a:latin typeface="Cambria Math" panose="02040503050406030204" pitchFamily="18" charset="0"/>
                      </a:rPr>
                      <m:t>𝑝</m:t>
                    </m:r>
                  </m:oMath>
                </m:oMathPara>
              </a14:m>
              <a:endParaRPr lang="de-DE" sz="1100"/>
            </a:p>
          </xdr:txBody>
        </xdr:sp>
      </mc:Choice>
      <mc:Fallback xmlns="">
        <xdr:sp macro="" textlink="">
          <xdr:nvSpPr>
            <xdr:cNvPr id="10" name="Textfeld 9">
              <a:extLst>
                <a:ext uri="{FF2B5EF4-FFF2-40B4-BE49-F238E27FC236}">
                  <a16:creationId xmlns:a16="http://schemas.microsoft.com/office/drawing/2014/main" id="{9B5D4760-E93C-4EA8-8648-0F0F9DC7D303}"/>
                </a:ext>
              </a:extLst>
            </xdr:cNvPr>
            <xdr:cNvSpPr txBox="1"/>
          </xdr:nvSpPr>
          <xdr:spPr>
            <a:xfrm>
              <a:off x="0" y="5234609"/>
              <a:ext cx="94468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𝐹_𝑆𝑡=𝑚∗𝑔∗𝑝</a:t>
              </a:r>
              <a:endParaRPr lang="de-DE" sz="1100"/>
            </a:p>
          </xdr:txBody>
        </xdr:sp>
      </mc:Fallback>
    </mc:AlternateContent>
    <xdr:clientData/>
  </xdr:oneCellAnchor>
  <xdr:oneCellAnchor>
    <xdr:from>
      <xdr:col>1</xdr:col>
      <xdr:colOff>39756</xdr:colOff>
      <xdr:row>34</xdr:row>
      <xdr:rowOff>147430</xdr:rowOff>
    </xdr:from>
    <xdr:ext cx="895245" cy="317908"/>
    <mc:AlternateContent xmlns:mc="http://schemas.openxmlformats.org/markup-compatibility/2006" xmlns:a14="http://schemas.microsoft.com/office/drawing/2010/main">
      <mc:Choice Requires="a14">
        <xdr:sp macro="" textlink="">
          <xdr:nvSpPr>
            <xdr:cNvPr id="37" name="Textfeld 36">
              <a:extLst>
                <a:ext uri="{FF2B5EF4-FFF2-40B4-BE49-F238E27FC236}">
                  <a16:creationId xmlns:a16="http://schemas.microsoft.com/office/drawing/2014/main" id="{8D80378A-8DCB-EA7F-297D-6683A5379723}"/>
                </a:ext>
              </a:extLst>
            </xdr:cNvPr>
            <xdr:cNvSpPr txBox="1"/>
          </xdr:nvSpPr>
          <xdr:spPr>
            <a:xfrm>
              <a:off x="801756" y="7311887"/>
              <a:ext cx="895245"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i="1">
                            <a:latin typeface="Cambria Math" panose="02040503050406030204" pitchFamily="18" charset="0"/>
                            <a:ea typeface="Cambria Math" panose="02040503050406030204" pitchFamily="18" charset="0"/>
                          </a:rPr>
                          <m:t>𝜆</m:t>
                        </m:r>
                      </m:e>
                      <m:sub>
                        <m:r>
                          <a:rPr lang="de-DE" sz="1100" b="0" i="1">
                            <a:latin typeface="Cambria Math" panose="02040503050406030204" pitchFamily="18" charset="0"/>
                          </a:rPr>
                          <m:t>𝐴</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num>
                      <m:den>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den>
                    </m:f>
                  </m:oMath>
                </m:oMathPara>
              </a14:m>
              <a:endParaRPr lang="de-DE" sz="1100"/>
            </a:p>
          </xdr:txBody>
        </xdr:sp>
      </mc:Choice>
      <mc:Fallback xmlns="">
        <xdr:sp macro="" textlink="">
          <xdr:nvSpPr>
            <xdr:cNvPr id="37" name="Textfeld 36">
              <a:extLst>
                <a:ext uri="{FF2B5EF4-FFF2-40B4-BE49-F238E27FC236}">
                  <a16:creationId xmlns:a16="http://schemas.microsoft.com/office/drawing/2014/main" id="{8D80378A-8DCB-EA7F-297D-6683A5379723}"/>
                </a:ext>
              </a:extLst>
            </xdr:cNvPr>
            <xdr:cNvSpPr txBox="1"/>
          </xdr:nvSpPr>
          <xdr:spPr>
            <a:xfrm>
              <a:off x="801756" y="7311887"/>
              <a:ext cx="895245"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i="0">
                  <a:latin typeface="Cambria Math" panose="02040503050406030204" pitchFamily="18" charset="0"/>
                  <a:ea typeface="Cambria Math" panose="02040503050406030204" pitchFamily="18" charset="0"/>
                </a:rPr>
                <a:t>𝜆_</a:t>
              </a:r>
              <a:r>
                <a:rPr lang="de-DE" sz="1100" b="0" i="0">
                  <a:latin typeface="Cambria Math" panose="02040503050406030204" pitchFamily="18" charset="0"/>
                </a:rPr>
                <a:t>𝐴=(𝑣_𝑡ℎ−𝑣_𝐹)/𝑣_𝑡ℎ </a:t>
              </a:r>
              <a:endParaRPr lang="de-DE" sz="1100"/>
            </a:p>
          </xdr:txBody>
        </xdr:sp>
      </mc:Fallback>
    </mc:AlternateContent>
    <xdr:clientData/>
  </xdr:oneCellAnchor>
  <xdr:oneCellAnchor>
    <xdr:from>
      <xdr:col>4</xdr:col>
      <xdr:colOff>553278</xdr:colOff>
      <xdr:row>36</xdr:row>
      <xdr:rowOff>213690</xdr:rowOff>
    </xdr:from>
    <xdr:ext cx="796115" cy="317908"/>
    <mc:AlternateContent xmlns:mc="http://schemas.openxmlformats.org/markup-compatibility/2006" xmlns:a14="http://schemas.microsoft.com/office/drawing/2010/main">
      <mc:Choice Requires="a14">
        <xdr:sp macro="" textlink="">
          <xdr:nvSpPr>
            <xdr:cNvPr id="39" name="Textfeld 38">
              <a:extLst>
                <a:ext uri="{FF2B5EF4-FFF2-40B4-BE49-F238E27FC236}">
                  <a16:creationId xmlns:a16="http://schemas.microsoft.com/office/drawing/2014/main" id="{F28F624F-CC2A-A81B-9F0D-0CD1D3C390F3}"/>
                </a:ext>
              </a:extLst>
            </xdr:cNvPr>
            <xdr:cNvSpPr txBox="1"/>
          </xdr:nvSpPr>
          <xdr:spPr>
            <a:xfrm>
              <a:off x="4512365" y="7825407"/>
              <a:ext cx="796115"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num>
                      <m:den>
                        <m:r>
                          <a:rPr lang="de-DE" sz="1100" b="0" i="1">
                            <a:latin typeface="Cambria Math" panose="02040503050406030204" pitchFamily="18" charset="0"/>
                          </a:rPr>
                          <m:t>1−</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𝜆</m:t>
                            </m:r>
                          </m:e>
                          <m:sub>
                            <m:r>
                              <a:rPr lang="de-DE" sz="1100" b="0" i="1">
                                <a:latin typeface="Cambria Math" panose="02040503050406030204" pitchFamily="18" charset="0"/>
                              </a:rPr>
                              <m:t>𝐴</m:t>
                            </m:r>
                          </m:sub>
                        </m:sSub>
                      </m:den>
                    </m:f>
                  </m:oMath>
                </m:oMathPara>
              </a14:m>
              <a:endParaRPr lang="de-DE" sz="1100"/>
            </a:p>
          </xdr:txBody>
        </xdr:sp>
      </mc:Choice>
      <mc:Fallback xmlns="">
        <xdr:sp macro="" textlink="">
          <xdr:nvSpPr>
            <xdr:cNvPr id="39" name="Textfeld 38">
              <a:extLst>
                <a:ext uri="{FF2B5EF4-FFF2-40B4-BE49-F238E27FC236}">
                  <a16:creationId xmlns:a16="http://schemas.microsoft.com/office/drawing/2014/main" id="{F28F624F-CC2A-A81B-9F0D-0CD1D3C390F3}"/>
                </a:ext>
              </a:extLst>
            </xdr:cNvPr>
            <xdr:cNvSpPr txBox="1"/>
          </xdr:nvSpPr>
          <xdr:spPr>
            <a:xfrm>
              <a:off x="4512365" y="7825407"/>
              <a:ext cx="796115"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𝑣_𝑡ℎ=𝑣_𝐹/(1−</a:t>
              </a:r>
              <a:r>
                <a:rPr lang="de-DE" sz="1100" b="0" i="0">
                  <a:latin typeface="Cambria Math" panose="02040503050406030204" pitchFamily="18" charset="0"/>
                  <a:ea typeface="Cambria Math" panose="02040503050406030204" pitchFamily="18" charset="0"/>
                </a:rPr>
                <a:t>𝜆_</a:t>
              </a:r>
              <a:r>
                <a:rPr lang="de-DE" sz="1100" b="0" i="0">
                  <a:latin typeface="Cambria Math" panose="02040503050406030204" pitchFamily="18" charset="0"/>
                </a:rPr>
                <a:t>𝐴 )</a:t>
              </a:r>
              <a:endParaRPr lang="de-DE" sz="1100"/>
            </a:p>
          </xdr:txBody>
        </xdr:sp>
      </mc:Fallback>
    </mc:AlternateContent>
    <xdr:clientData/>
  </xdr:oneCellAnchor>
  <xdr:oneCellAnchor>
    <xdr:from>
      <xdr:col>1</xdr:col>
      <xdr:colOff>56321</xdr:colOff>
      <xdr:row>28</xdr:row>
      <xdr:rowOff>180561</xdr:rowOff>
    </xdr:from>
    <xdr:ext cx="1255215" cy="172227"/>
    <mc:AlternateContent xmlns:mc="http://schemas.openxmlformats.org/markup-compatibility/2006" xmlns:a14="http://schemas.microsoft.com/office/drawing/2010/main">
      <mc:Choice Requires="a14">
        <xdr:sp macro="" textlink="">
          <xdr:nvSpPr>
            <xdr:cNvPr id="41" name="Textfeld 40">
              <a:extLst>
                <a:ext uri="{FF2B5EF4-FFF2-40B4-BE49-F238E27FC236}">
                  <a16:creationId xmlns:a16="http://schemas.microsoft.com/office/drawing/2014/main" id="{4C0B22CC-30B5-6ACB-2FAA-39607345CF70}"/>
                </a:ext>
              </a:extLst>
            </xdr:cNvPr>
            <xdr:cNvSpPr txBox="1"/>
          </xdr:nvSpPr>
          <xdr:spPr>
            <a:xfrm>
              <a:off x="56321" y="6061213"/>
              <a:ext cx="125521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𝑍</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𝐿𝑊</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𝑅</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𝑆𝑡</m:t>
                        </m:r>
                      </m:sub>
                    </m:sSub>
                  </m:oMath>
                </m:oMathPara>
              </a14:m>
              <a:endParaRPr lang="de-DE" sz="1100"/>
            </a:p>
          </xdr:txBody>
        </xdr:sp>
      </mc:Choice>
      <mc:Fallback xmlns="">
        <xdr:sp macro="" textlink="">
          <xdr:nvSpPr>
            <xdr:cNvPr id="41" name="Textfeld 40">
              <a:extLst>
                <a:ext uri="{FF2B5EF4-FFF2-40B4-BE49-F238E27FC236}">
                  <a16:creationId xmlns:a16="http://schemas.microsoft.com/office/drawing/2014/main" id="{4C0B22CC-30B5-6ACB-2FAA-39607345CF70}"/>
                </a:ext>
              </a:extLst>
            </xdr:cNvPr>
            <xdr:cNvSpPr txBox="1"/>
          </xdr:nvSpPr>
          <xdr:spPr>
            <a:xfrm>
              <a:off x="56321" y="6061213"/>
              <a:ext cx="125521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𝐹_𝑍=𝐹_𝐿𝑊+𝐹_𝑅+𝐹_𝑆𝑡</a:t>
              </a:r>
              <a:endParaRPr lang="de-DE" sz="1100"/>
            </a:p>
          </xdr:txBody>
        </xdr:sp>
      </mc:Fallback>
    </mc:AlternateContent>
    <xdr:clientData/>
  </xdr:oneCellAnchor>
  <xdr:oneCellAnchor>
    <xdr:from>
      <xdr:col>1</xdr:col>
      <xdr:colOff>41413</xdr:colOff>
      <xdr:row>48</xdr:row>
      <xdr:rowOff>107674</xdr:rowOff>
    </xdr:from>
    <xdr:ext cx="546111" cy="345544"/>
    <mc:AlternateContent xmlns:mc="http://schemas.openxmlformats.org/markup-compatibility/2006" xmlns:a14="http://schemas.microsoft.com/office/drawing/2010/main">
      <mc:Choice Requires="a14">
        <xdr:sp macro="" textlink="">
          <xdr:nvSpPr>
            <xdr:cNvPr id="42" name="Textfeld 41">
              <a:extLst>
                <a:ext uri="{FF2B5EF4-FFF2-40B4-BE49-F238E27FC236}">
                  <a16:creationId xmlns:a16="http://schemas.microsoft.com/office/drawing/2014/main" id="{0719C59F-B33B-44BA-9BE3-BB4704B7DA17}"/>
                </a:ext>
              </a:extLst>
            </xdr:cNvPr>
            <xdr:cNvSpPr txBox="1"/>
          </xdr:nvSpPr>
          <xdr:spPr>
            <a:xfrm>
              <a:off x="803413" y="9317935"/>
              <a:ext cx="546111"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𝑒</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𝑁</m:t>
                            </m:r>
                          </m:sub>
                        </m:sSub>
                      </m:num>
                      <m:den>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den>
                    </m:f>
                  </m:oMath>
                </m:oMathPara>
              </a14:m>
              <a:endParaRPr lang="de-DE" sz="1100"/>
            </a:p>
          </xdr:txBody>
        </xdr:sp>
      </mc:Choice>
      <mc:Fallback xmlns="">
        <xdr:sp macro="" textlink="">
          <xdr:nvSpPr>
            <xdr:cNvPr id="42" name="Textfeld 41">
              <a:extLst>
                <a:ext uri="{FF2B5EF4-FFF2-40B4-BE49-F238E27FC236}">
                  <a16:creationId xmlns:a16="http://schemas.microsoft.com/office/drawing/2014/main" id="{0719C59F-B33B-44BA-9BE3-BB4704B7DA17}"/>
                </a:ext>
              </a:extLst>
            </xdr:cNvPr>
            <xdr:cNvSpPr txBox="1"/>
          </xdr:nvSpPr>
          <xdr:spPr>
            <a:xfrm>
              <a:off x="803413" y="9317935"/>
              <a:ext cx="546111"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𝑃_𝑒=𝑃_𝑁/</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 </a:t>
              </a:r>
              <a:endParaRPr lang="de-DE" sz="1100"/>
            </a:p>
          </xdr:txBody>
        </xdr:sp>
      </mc:Fallback>
    </mc:AlternateContent>
    <xdr:clientData/>
  </xdr:oneCellAnchor>
  <xdr:oneCellAnchor>
    <xdr:from>
      <xdr:col>1</xdr:col>
      <xdr:colOff>68745</xdr:colOff>
      <xdr:row>52</xdr:row>
      <xdr:rowOff>188843</xdr:rowOff>
    </xdr:from>
    <xdr:ext cx="779059" cy="172227"/>
    <mc:AlternateContent xmlns:mc="http://schemas.openxmlformats.org/markup-compatibility/2006" xmlns:a14="http://schemas.microsoft.com/office/drawing/2010/main">
      <mc:Choice Requires="a14">
        <xdr:sp macro="" textlink="">
          <xdr:nvSpPr>
            <xdr:cNvPr id="44" name="Textfeld 43">
              <a:extLst>
                <a:ext uri="{FF2B5EF4-FFF2-40B4-BE49-F238E27FC236}">
                  <a16:creationId xmlns:a16="http://schemas.microsoft.com/office/drawing/2014/main" id="{4D098377-06E8-07A3-9889-EE67DB05C2B4}"/>
                </a:ext>
              </a:extLst>
            </xdr:cNvPr>
            <xdr:cNvSpPr txBox="1"/>
          </xdr:nvSpPr>
          <xdr:spPr>
            <a:xfrm>
              <a:off x="830745" y="11063908"/>
              <a:ext cx="77905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𝑁</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𝜆</m:t>
                        </m:r>
                      </m:e>
                      <m:sub>
                        <m:r>
                          <a:rPr lang="de-DE" sz="1100" b="0" i="1">
                            <a:latin typeface="Cambria Math" panose="02040503050406030204" pitchFamily="18" charset="0"/>
                          </a:rPr>
                          <m:t>𝐴</m:t>
                        </m:r>
                      </m:sub>
                    </m:sSub>
                  </m:oMath>
                </m:oMathPara>
              </a14:m>
              <a:endParaRPr lang="de-DE" sz="1100"/>
            </a:p>
          </xdr:txBody>
        </xdr:sp>
      </mc:Choice>
      <mc:Fallback xmlns="">
        <xdr:sp macro="" textlink="">
          <xdr:nvSpPr>
            <xdr:cNvPr id="44" name="Textfeld 43">
              <a:extLst>
                <a:ext uri="{FF2B5EF4-FFF2-40B4-BE49-F238E27FC236}">
                  <a16:creationId xmlns:a16="http://schemas.microsoft.com/office/drawing/2014/main" id="{4D098377-06E8-07A3-9889-EE67DB05C2B4}"/>
                </a:ext>
              </a:extLst>
            </xdr:cNvPr>
            <xdr:cNvSpPr txBox="1"/>
          </xdr:nvSpPr>
          <xdr:spPr>
            <a:xfrm>
              <a:off x="830745" y="11063908"/>
              <a:ext cx="77905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𝑃_𝑆=𝑃_𝑁∗</a:t>
              </a:r>
              <a:r>
                <a:rPr lang="de-DE" sz="1100" b="0" i="0">
                  <a:latin typeface="Cambria Math" panose="02040503050406030204" pitchFamily="18" charset="0"/>
                  <a:ea typeface="Cambria Math" panose="02040503050406030204" pitchFamily="18" charset="0"/>
                </a:rPr>
                <a:t>𝜆_</a:t>
              </a:r>
              <a:r>
                <a:rPr lang="de-DE" sz="1100" b="0" i="0">
                  <a:latin typeface="Cambria Math" panose="02040503050406030204" pitchFamily="18" charset="0"/>
                </a:rPr>
                <a:t>𝐴</a:t>
              </a:r>
              <a:endParaRPr lang="de-DE" sz="1100"/>
            </a:p>
          </xdr:txBody>
        </xdr:sp>
      </mc:Fallback>
    </mc:AlternateContent>
    <xdr:clientData/>
  </xdr:oneCellAnchor>
  <xdr:oneCellAnchor>
    <xdr:from>
      <xdr:col>1</xdr:col>
      <xdr:colOff>52179</xdr:colOff>
      <xdr:row>56</xdr:row>
      <xdr:rowOff>188843</xdr:rowOff>
    </xdr:from>
    <xdr:ext cx="1251818" cy="172227"/>
    <mc:AlternateContent xmlns:mc="http://schemas.openxmlformats.org/markup-compatibility/2006" xmlns:a14="http://schemas.microsoft.com/office/drawing/2010/main">
      <mc:Choice Requires="a14">
        <xdr:sp macro="" textlink="">
          <xdr:nvSpPr>
            <xdr:cNvPr id="46" name="Textfeld 45">
              <a:extLst>
                <a:ext uri="{FF2B5EF4-FFF2-40B4-BE49-F238E27FC236}">
                  <a16:creationId xmlns:a16="http://schemas.microsoft.com/office/drawing/2014/main" id="{7756484E-7E3F-9139-73BE-A6299E1D9D95}"/>
                </a:ext>
              </a:extLst>
            </xdr:cNvPr>
            <xdr:cNvSpPr txBox="1"/>
          </xdr:nvSpPr>
          <xdr:spPr>
            <a:xfrm>
              <a:off x="814179" y="11088756"/>
              <a:ext cx="1251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𝑉𝑇</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𝑒</m:t>
                        </m:r>
                      </m:sub>
                    </m:sSub>
                    <m:r>
                      <a:rPr lang="de-DE" sz="1100" b="0" i="1">
                        <a:latin typeface="Cambria Math" panose="02040503050406030204" pitchFamily="18" charset="0"/>
                      </a:rPr>
                      <m:t>∗(1−</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r>
                      <a:rPr lang="de-DE" sz="1100" b="0" i="1">
                        <a:latin typeface="Cambria Math" panose="02040503050406030204" pitchFamily="18" charset="0"/>
                      </a:rPr>
                      <m:t>)</m:t>
                    </m:r>
                  </m:oMath>
                </m:oMathPara>
              </a14:m>
              <a:endParaRPr lang="de-DE" sz="1100"/>
            </a:p>
          </xdr:txBody>
        </xdr:sp>
      </mc:Choice>
      <mc:Fallback xmlns="">
        <xdr:sp macro="" textlink="">
          <xdr:nvSpPr>
            <xdr:cNvPr id="46" name="Textfeld 45">
              <a:extLst>
                <a:ext uri="{FF2B5EF4-FFF2-40B4-BE49-F238E27FC236}">
                  <a16:creationId xmlns:a16="http://schemas.microsoft.com/office/drawing/2014/main" id="{7756484E-7E3F-9139-73BE-A6299E1D9D95}"/>
                </a:ext>
              </a:extLst>
            </xdr:cNvPr>
            <xdr:cNvSpPr txBox="1"/>
          </xdr:nvSpPr>
          <xdr:spPr>
            <a:xfrm>
              <a:off x="814179" y="11088756"/>
              <a:ext cx="1251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𝑃_𝑉𝑇=𝑃_𝑒∗(1−</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a:t>
              </a:r>
              <a:endParaRPr lang="de-DE" sz="1100"/>
            </a:p>
          </xdr:txBody>
        </xdr:sp>
      </mc:Fallback>
    </mc:AlternateContent>
    <xdr:clientData/>
  </xdr:oneCellAnchor>
  <xdr:oneCellAnchor>
    <xdr:from>
      <xdr:col>1</xdr:col>
      <xdr:colOff>27248</xdr:colOff>
      <xdr:row>66</xdr:row>
      <xdr:rowOff>171533</xdr:rowOff>
    </xdr:from>
    <xdr:ext cx="1646285" cy="238976"/>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49522A27-F92C-4A4C-B324-72BCF00501C5}"/>
                </a:ext>
              </a:extLst>
            </xdr:cNvPr>
            <xdr:cNvSpPr txBox="1"/>
          </xdr:nvSpPr>
          <xdr:spPr>
            <a:xfrm>
              <a:off x="789248" y="13067555"/>
              <a:ext cx="1646285" cy="238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𝐿𝑊</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 </m:t>
                      </m:r>
                      <m:r>
                        <a:rPr lang="de-DE" sz="1100" b="0" i="1">
                          <a:solidFill>
                            <a:schemeClr val="tx1"/>
                          </a:solidFill>
                          <a:effectLst/>
                          <a:latin typeface="Cambria Math" panose="02040503050406030204" pitchFamily="18" charset="0"/>
                          <a:ea typeface="Cambria Math" panose="02040503050406030204" pitchFamily="18" charset="0"/>
                          <a:cs typeface="+mn-cs"/>
                        </a:rPr>
                        <m:t>∙</m:t>
                      </m:r>
                      <m:r>
                        <a:rPr lang="de-DE" sz="1100" b="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Cambria Math" panose="02040503050406030204" pitchFamily="18" charset="0"/>
                          <a:cs typeface="+mn-cs"/>
                        </a:rPr>
                        <m:t>𝜌</m:t>
                      </m:r>
                    </m:e>
                    <m:sub>
                      <m:r>
                        <a:rPr lang="de-DE" sz="1100" b="0" i="1">
                          <a:solidFill>
                            <a:schemeClr val="tx1"/>
                          </a:solidFill>
                          <a:effectLst/>
                          <a:latin typeface="Cambria Math" panose="02040503050406030204" pitchFamily="18" charset="0"/>
                          <a:ea typeface="+mn-ea"/>
                          <a:cs typeface="+mn-cs"/>
                        </a:rPr>
                        <m:t>𝐿</m:t>
                      </m:r>
                    </m:sub>
                  </m:sSub>
                  <m:r>
                    <a:rPr lang="de-DE" sz="1100" b="0" i="1">
                      <a:latin typeface="Cambria Math" panose="02040503050406030204" pitchFamily="18" charset="0"/>
                      <a:ea typeface="Cambria Math" panose="02040503050406030204" pitchFamily="18" charset="0"/>
                    </a:rPr>
                    <m:t> ∙ </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𝑐</m:t>
                      </m:r>
                    </m:e>
                    <m:sub>
                      <m:r>
                        <a:rPr lang="de-DE" sz="1100" b="0" i="1">
                          <a:latin typeface="Cambria Math" panose="02040503050406030204" pitchFamily="18" charset="0"/>
                          <a:ea typeface="Cambria Math" panose="02040503050406030204" pitchFamily="18" charset="0"/>
                        </a:rPr>
                        <m:t>𝑤</m:t>
                      </m:r>
                    </m:sub>
                  </m:sSub>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𝐴</m:t>
                  </m:r>
                  <m:r>
                    <a:rPr lang="de-DE" sz="1100" b="0" i="1">
                      <a:latin typeface="Cambria Math" panose="02040503050406030204" pitchFamily="18" charset="0"/>
                      <a:ea typeface="Cambria Math" panose="02040503050406030204" pitchFamily="18" charset="0"/>
                    </a:rPr>
                    <m:t> ∙</m:t>
                  </m:r>
                  <m:sSubSup>
                    <m:sSubSupPr>
                      <m:ctrlPr>
                        <a:rPr lang="de-DE" sz="1100" b="0" i="1">
                          <a:latin typeface="Cambria Math" panose="02040503050406030204" pitchFamily="18" charset="0"/>
                          <a:ea typeface="Cambria Math" panose="02040503050406030204" pitchFamily="18" charset="0"/>
                        </a:rPr>
                      </m:ctrlPr>
                    </m:sSubSupPr>
                    <m:e>
                      <m:r>
                        <a:rPr lang="de-DE" sz="1100" b="0" i="1">
                          <a:latin typeface="Cambria Math" panose="02040503050406030204" pitchFamily="18" charset="0"/>
                          <a:ea typeface="Cambria Math" panose="02040503050406030204" pitchFamily="18" charset="0"/>
                        </a:rPr>
                        <m:t>𝑣</m:t>
                      </m:r>
                    </m:e>
                    <m:sub>
                      <m:r>
                        <a:rPr lang="de-DE" sz="1100" b="0" i="1">
                          <a:latin typeface="Cambria Math" panose="02040503050406030204" pitchFamily="18" charset="0"/>
                          <a:ea typeface="Cambria Math" panose="02040503050406030204" pitchFamily="18" charset="0"/>
                        </a:rPr>
                        <m:t>𝐹</m:t>
                      </m:r>
                    </m:sub>
                    <m:sup>
                      <m:r>
                        <a:rPr lang="de-DE" sz="1100" b="0" i="1">
                          <a:latin typeface="Cambria Math" panose="02040503050406030204" pitchFamily="18" charset="0"/>
                          <a:ea typeface="Cambria Math" panose="02040503050406030204" pitchFamily="18" charset="0"/>
                        </a:rPr>
                        <m:t>3</m:t>
                      </m:r>
                    </m:sup>
                  </m:sSubSup>
                  <m:r>
                    <a:rPr lang="de-DE" sz="1100" b="0" i="1">
                      <a:latin typeface="Cambria Math" panose="02040503050406030204" pitchFamily="18" charset="0"/>
                      <a:ea typeface="Cambria Math" panose="02040503050406030204" pitchFamily="18" charset="0"/>
                    </a:rPr>
                    <m:t> </m:t>
                  </m:r>
                </m:oMath>
              </a14:m>
              <a:r>
                <a:rPr lang="de-DE" sz="1100"/>
                <a:t> </a:t>
              </a:r>
            </a:p>
          </xdr:txBody>
        </xdr:sp>
      </mc:Choice>
      <mc:Fallback xmlns="">
        <xdr:sp macro="" textlink="">
          <xdr:nvSpPr>
            <xdr:cNvPr id="2" name="Textfeld 1">
              <a:extLst>
                <a:ext uri="{FF2B5EF4-FFF2-40B4-BE49-F238E27FC236}">
                  <a16:creationId xmlns:a16="http://schemas.microsoft.com/office/drawing/2014/main" id="{49522A27-F92C-4A4C-B324-72BCF00501C5}"/>
                </a:ext>
              </a:extLst>
            </xdr:cNvPr>
            <xdr:cNvSpPr txBox="1"/>
          </xdr:nvSpPr>
          <xdr:spPr>
            <a:xfrm>
              <a:off x="789248" y="13067555"/>
              <a:ext cx="1646285" cy="238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𝑃_𝐿𝑊=1/2</a:t>
              </a:r>
              <a:r>
                <a:rPr lang="de-DE" sz="1100" b="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panose="02040503050406030204" pitchFamily="18" charset="0"/>
                  <a:ea typeface="+mn-ea"/>
                  <a:cs typeface="+mn-cs"/>
                </a:rPr>
                <a:t> </a:t>
              </a:r>
              <a:r>
                <a:rPr lang="de-DE" sz="1100" b="0" i="0">
                  <a:solidFill>
                    <a:schemeClr val="tx1"/>
                  </a:solidFill>
                  <a:effectLst/>
                  <a:latin typeface="Cambria Math" panose="02040503050406030204" pitchFamily="18" charset="0"/>
                  <a:ea typeface="Cambria Math" panose="02040503050406030204" pitchFamily="18" charset="0"/>
                  <a:cs typeface="+mn-cs"/>
                </a:rPr>
                <a:t>∙</a:t>
              </a:r>
              <a:r>
                <a:rPr lang="de-DE" sz="1100" b="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Cambria Math" panose="02040503050406030204" pitchFamily="18" charset="0"/>
                  <a:cs typeface="+mn-cs"/>
                </a:rPr>
                <a:t>𝜌</a:t>
              </a:r>
              <a:r>
                <a:rPr lang="de-DE" sz="1100" i="0">
                  <a:solidFill>
                    <a:schemeClr val="tx1"/>
                  </a:solidFill>
                  <a:effectLst/>
                  <a:latin typeface="Cambria Math" panose="02040503050406030204" pitchFamily="18" charset="0"/>
                  <a:ea typeface="+mn-ea"/>
                  <a:cs typeface="+mn-cs"/>
                </a:rPr>
                <a:t>〗_</a:t>
              </a:r>
              <a:r>
                <a:rPr lang="de-DE" sz="1100" b="0" i="0">
                  <a:solidFill>
                    <a:schemeClr val="tx1"/>
                  </a:solidFill>
                  <a:effectLst/>
                  <a:latin typeface="Cambria Math" panose="02040503050406030204" pitchFamily="18" charset="0"/>
                  <a:ea typeface="+mn-ea"/>
                  <a:cs typeface="+mn-cs"/>
                </a:rPr>
                <a:t>𝐿</a:t>
              </a:r>
              <a:r>
                <a:rPr lang="de-DE" sz="1100" b="0" i="0">
                  <a:solidFill>
                    <a:schemeClr val="tx1"/>
                  </a:solidFill>
                  <a:effectLst/>
                  <a:latin typeface="Cambria Math" panose="02040503050406030204" pitchFamily="18" charset="0"/>
                  <a:ea typeface="Cambria Math" panose="02040503050406030204" pitchFamily="18" charset="0"/>
                  <a:cs typeface="+mn-cs"/>
                </a:rPr>
                <a:t> </a:t>
              </a:r>
              <a:r>
                <a:rPr lang="de-DE" sz="1100" b="0" i="0">
                  <a:latin typeface="Cambria Math" panose="02040503050406030204" pitchFamily="18" charset="0"/>
                  <a:ea typeface="Cambria Math" panose="02040503050406030204" pitchFamily="18" charset="0"/>
                </a:rPr>
                <a:t> ∙ 𝑐_𝑤∙𝐴 ∙𝑣_𝐹^3  </a:t>
              </a:r>
              <a:r>
                <a:rPr lang="de-DE" sz="1100"/>
                <a:t> </a:t>
              </a:r>
            </a:p>
          </xdr:txBody>
        </xdr:sp>
      </mc:Fallback>
    </mc:AlternateContent>
    <xdr:clientData/>
  </xdr:oneCellAnchor>
  <xdr:oneCellAnchor>
    <xdr:from>
      <xdr:col>1</xdr:col>
      <xdr:colOff>0</xdr:colOff>
      <xdr:row>71</xdr:row>
      <xdr:rowOff>0</xdr:rowOff>
    </xdr:from>
    <xdr:ext cx="1274195" cy="172227"/>
    <mc:AlternateContent xmlns:mc="http://schemas.openxmlformats.org/markup-compatibility/2006" xmlns:a14="http://schemas.microsoft.com/office/drawing/2010/main">
      <mc:Choice Requires="a14">
        <xdr:sp macro="" textlink="">
          <xdr:nvSpPr>
            <xdr:cNvPr id="3" name="Textfeld 2">
              <a:extLst>
                <a:ext uri="{FF2B5EF4-FFF2-40B4-BE49-F238E27FC236}">
                  <a16:creationId xmlns:a16="http://schemas.microsoft.com/office/drawing/2014/main" id="{F52B2374-C5DB-4AEE-A0CA-5486D68A20A3}"/>
                </a:ext>
              </a:extLst>
            </xdr:cNvPr>
            <xdr:cNvSpPr txBox="1"/>
          </xdr:nvSpPr>
          <xdr:spPr>
            <a:xfrm>
              <a:off x="762000" y="13169348"/>
              <a:ext cx="12741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𝑅</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𝑓</m:t>
                        </m:r>
                      </m:e>
                      <m:sub>
                        <m:r>
                          <a:rPr lang="de-DE" sz="1100" b="0" i="1">
                            <a:latin typeface="Cambria Math" panose="02040503050406030204" pitchFamily="18" charset="0"/>
                          </a:rPr>
                          <m:t>𝑅</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oMath>
                </m:oMathPara>
              </a14:m>
              <a:endParaRPr lang="de-DE" sz="1100"/>
            </a:p>
          </xdr:txBody>
        </xdr:sp>
      </mc:Choice>
      <mc:Fallback xmlns="">
        <xdr:sp macro="" textlink="">
          <xdr:nvSpPr>
            <xdr:cNvPr id="3" name="Textfeld 2">
              <a:extLst>
                <a:ext uri="{FF2B5EF4-FFF2-40B4-BE49-F238E27FC236}">
                  <a16:creationId xmlns:a16="http://schemas.microsoft.com/office/drawing/2014/main" id="{F52B2374-C5DB-4AEE-A0CA-5486D68A20A3}"/>
                </a:ext>
              </a:extLst>
            </xdr:cNvPr>
            <xdr:cNvSpPr txBox="1"/>
          </xdr:nvSpPr>
          <xdr:spPr>
            <a:xfrm>
              <a:off x="762000" y="13169348"/>
              <a:ext cx="12741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𝑃_𝑅=𝑚∗𝑔∗𝑓_𝑅∗𝑣_𝐹</a:t>
              </a:r>
              <a:endParaRPr lang="de-DE" sz="1100"/>
            </a:p>
          </xdr:txBody>
        </xdr:sp>
      </mc:Fallback>
    </mc:AlternateContent>
    <xdr:clientData/>
  </xdr:oneCellAnchor>
  <xdr:oneCellAnchor>
    <xdr:from>
      <xdr:col>1</xdr:col>
      <xdr:colOff>0</xdr:colOff>
      <xdr:row>75</xdr:row>
      <xdr:rowOff>8283</xdr:rowOff>
    </xdr:from>
    <xdr:ext cx="1252715" cy="172227"/>
    <mc:AlternateContent xmlns:mc="http://schemas.openxmlformats.org/markup-compatibility/2006" xmlns:a14="http://schemas.microsoft.com/office/drawing/2010/main">
      <mc:Choice Requires="a14">
        <xdr:sp macro="" textlink="">
          <xdr:nvSpPr>
            <xdr:cNvPr id="4" name="Textfeld 3">
              <a:extLst>
                <a:ext uri="{FF2B5EF4-FFF2-40B4-BE49-F238E27FC236}">
                  <a16:creationId xmlns:a16="http://schemas.microsoft.com/office/drawing/2014/main" id="{6B56C38D-C439-463F-8C78-09A8748E4DB8}"/>
                </a:ext>
              </a:extLst>
            </xdr:cNvPr>
            <xdr:cNvSpPr txBox="1"/>
          </xdr:nvSpPr>
          <xdr:spPr>
            <a:xfrm>
              <a:off x="762000" y="14022457"/>
              <a:ext cx="125271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𝑆𝑡</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r>
                      <a:rPr lang="de-DE" sz="1100" b="0" i="1">
                        <a:latin typeface="Cambria Math" panose="02040503050406030204" pitchFamily="18" charset="0"/>
                      </a:rPr>
                      <m:t>𝑝</m:t>
                    </m:r>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oMath>
                </m:oMathPara>
              </a14:m>
              <a:endParaRPr lang="de-DE" sz="1100"/>
            </a:p>
          </xdr:txBody>
        </xdr:sp>
      </mc:Choice>
      <mc:Fallback xmlns="">
        <xdr:sp macro="" textlink="">
          <xdr:nvSpPr>
            <xdr:cNvPr id="4" name="Textfeld 3">
              <a:extLst>
                <a:ext uri="{FF2B5EF4-FFF2-40B4-BE49-F238E27FC236}">
                  <a16:creationId xmlns:a16="http://schemas.microsoft.com/office/drawing/2014/main" id="{6B56C38D-C439-463F-8C78-09A8748E4DB8}"/>
                </a:ext>
              </a:extLst>
            </xdr:cNvPr>
            <xdr:cNvSpPr txBox="1"/>
          </xdr:nvSpPr>
          <xdr:spPr>
            <a:xfrm>
              <a:off x="762000" y="14022457"/>
              <a:ext cx="125271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𝑃_𝑆𝑡=𝑚∗𝑔∗𝑝∗𝑣_𝐹</a:t>
              </a:r>
              <a:endParaRPr lang="de-DE" sz="1100"/>
            </a:p>
          </xdr:txBody>
        </xdr:sp>
      </mc:Fallback>
    </mc:AlternateContent>
    <xdr:clientData/>
  </xdr:oneCellAnchor>
  <xdr:oneCellAnchor>
    <xdr:from>
      <xdr:col>1</xdr:col>
      <xdr:colOff>56321</xdr:colOff>
      <xdr:row>78</xdr:row>
      <xdr:rowOff>180561</xdr:rowOff>
    </xdr:from>
    <xdr:ext cx="1577163" cy="172227"/>
    <mc:AlternateContent xmlns:mc="http://schemas.openxmlformats.org/markup-compatibility/2006" xmlns:a14="http://schemas.microsoft.com/office/drawing/2010/main">
      <mc:Choice Requires="a14">
        <xdr:sp macro="" textlink="">
          <xdr:nvSpPr>
            <xdr:cNvPr id="5" name="Textfeld 4">
              <a:extLst>
                <a:ext uri="{FF2B5EF4-FFF2-40B4-BE49-F238E27FC236}">
                  <a16:creationId xmlns:a16="http://schemas.microsoft.com/office/drawing/2014/main" id="{74BEEDC5-FAF2-48B8-8E55-EC4A51C39B6B}"/>
                </a:ext>
              </a:extLst>
            </xdr:cNvPr>
            <xdr:cNvSpPr txBox="1"/>
          </xdr:nvSpPr>
          <xdr:spPr>
            <a:xfrm>
              <a:off x="818321" y="15702170"/>
              <a:ext cx="157716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𝑁</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m:t>
                            </m:r>
                          </m:sub>
                        </m:sSub>
                        <m:r>
                          <a:rPr lang="de-DE" sz="1100" b="0" i="1">
                            <a:latin typeface="Cambria Math" panose="02040503050406030204" pitchFamily="18" charset="0"/>
                          </a:rPr>
                          <m:t>+</m:t>
                        </m:r>
                        <m:r>
                          <a:rPr lang="de-DE" sz="1100" b="0" i="1">
                            <a:latin typeface="Cambria Math" panose="02040503050406030204" pitchFamily="18" charset="0"/>
                          </a:rPr>
                          <m:t>𝑃</m:t>
                        </m:r>
                      </m:e>
                      <m:sub>
                        <m:r>
                          <a:rPr lang="de-DE" sz="1100" b="0" i="1">
                            <a:latin typeface="Cambria Math" panose="02040503050406030204" pitchFamily="18" charset="0"/>
                          </a:rPr>
                          <m:t>𝐿𝑊</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𝑅</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𝑆𝑡</m:t>
                        </m:r>
                      </m:sub>
                    </m:sSub>
                  </m:oMath>
                </m:oMathPara>
              </a14:m>
              <a:endParaRPr lang="de-DE" sz="1100"/>
            </a:p>
          </xdr:txBody>
        </xdr:sp>
      </mc:Choice>
      <mc:Fallback xmlns="">
        <xdr:sp macro="" textlink="">
          <xdr:nvSpPr>
            <xdr:cNvPr id="5" name="Textfeld 4">
              <a:extLst>
                <a:ext uri="{FF2B5EF4-FFF2-40B4-BE49-F238E27FC236}">
                  <a16:creationId xmlns:a16="http://schemas.microsoft.com/office/drawing/2014/main" id="{74BEEDC5-FAF2-48B8-8E55-EC4A51C39B6B}"/>
                </a:ext>
              </a:extLst>
            </xdr:cNvPr>
            <xdr:cNvSpPr txBox="1"/>
          </xdr:nvSpPr>
          <xdr:spPr>
            <a:xfrm>
              <a:off x="818321" y="15702170"/>
              <a:ext cx="157716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𝑃_𝑁=〖𝑃_𝑆+𝑃〗_𝐿𝑊+𝑃_𝑅+𝑃_𝑆𝑡</a:t>
              </a:r>
              <a:endParaRPr lang="de-DE" sz="1100"/>
            </a:p>
          </xdr:txBody>
        </xdr:sp>
      </mc:Fallback>
    </mc:AlternateContent>
    <xdr:clientData/>
  </xdr:oneCellAnchor>
  <xdr:oneCellAnchor>
    <xdr:from>
      <xdr:col>1</xdr:col>
      <xdr:colOff>14908</xdr:colOff>
      <xdr:row>62</xdr:row>
      <xdr:rowOff>180560</xdr:rowOff>
    </xdr:from>
    <xdr:ext cx="1249701" cy="172227"/>
    <mc:AlternateContent xmlns:mc="http://schemas.openxmlformats.org/markup-compatibility/2006" xmlns:a14="http://schemas.microsoft.com/office/drawing/2010/main">
      <mc:Choice Requires="a14">
        <xdr:sp macro="" textlink="">
          <xdr:nvSpPr>
            <xdr:cNvPr id="8" name="Textfeld 7">
              <a:extLst>
                <a:ext uri="{FF2B5EF4-FFF2-40B4-BE49-F238E27FC236}">
                  <a16:creationId xmlns:a16="http://schemas.microsoft.com/office/drawing/2014/main" id="{14A5F458-5F5F-D7D9-9AE3-84038F5700F6}"/>
                </a:ext>
              </a:extLst>
            </xdr:cNvPr>
            <xdr:cNvSpPr txBox="1"/>
          </xdr:nvSpPr>
          <xdr:spPr>
            <a:xfrm>
              <a:off x="776908" y="12314582"/>
              <a:ext cx="1249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𝑍</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r>
                      <a:rPr lang="de-DE" sz="1100" b="0" i="1">
                        <a:latin typeface="Cambria Math" panose="02040503050406030204" pitchFamily="18" charset="0"/>
                      </a:rPr>
                      <m:t>)</m:t>
                    </m:r>
                  </m:oMath>
                </m:oMathPara>
              </a14:m>
              <a:endParaRPr lang="de-DE" sz="1100"/>
            </a:p>
          </xdr:txBody>
        </xdr:sp>
      </mc:Choice>
      <mc:Fallback xmlns="">
        <xdr:sp macro="" textlink="">
          <xdr:nvSpPr>
            <xdr:cNvPr id="8" name="Textfeld 7">
              <a:extLst>
                <a:ext uri="{FF2B5EF4-FFF2-40B4-BE49-F238E27FC236}">
                  <a16:creationId xmlns:a16="http://schemas.microsoft.com/office/drawing/2014/main" id="{14A5F458-5F5F-D7D9-9AE3-84038F5700F6}"/>
                </a:ext>
              </a:extLst>
            </xdr:cNvPr>
            <xdr:cNvSpPr txBox="1"/>
          </xdr:nvSpPr>
          <xdr:spPr>
            <a:xfrm>
              <a:off x="776908" y="12314582"/>
              <a:ext cx="1249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𝑃_𝑆=𝐹_𝑍∗(𝑣_𝑡ℎ−𝑣_𝐹)</a:t>
              </a:r>
              <a:endParaRPr lang="de-DE" sz="1100"/>
            </a:p>
          </xdr:txBody>
        </xdr:sp>
      </mc:Fallback>
    </mc:AlternateContent>
    <xdr:clientData/>
  </xdr:oneCellAnchor>
  <xdr:oneCellAnchor>
    <xdr:from>
      <xdr:col>1</xdr:col>
      <xdr:colOff>52179</xdr:colOff>
      <xdr:row>86</xdr:row>
      <xdr:rowOff>188843</xdr:rowOff>
    </xdr:from>
    <xdr:ext cx="1251818" cy="172227"/>
    <mc:AlternateContent xmlns:mc="http://schemas.openxmlformats.org/markup-compatibility/2006" xmlns:a14="http://schemas.microsoft.com/office/drawing/2010/main">
      <mc:Choice Requires="a14">
        <xdr:sp macro="" textlink="">
          <xdr:nvSpPr>
            <xdr:cNvPr id="9" name="Textfeld 8">
              <a:extLst>
                <a:ext uri="{FF2B5EF4-FFF2-40B4-BE49-F238E27FC236}">
                  <a16:creationId xmlns:a16="http://schemas.microsoft.com/office/drawing/2014/main" id="{DAA39FA0-3A18-4B3D-BC89-BA2D4FD6E179}"/>
                </a:ext>
              </a:extLst>
            </xdr:cNvPr>
            <xdr:cNvSpPr txBox="1"/>
          </xdr:nvSpPr>
          <xdr:spPr>
            <a:xfrm>
              <a:off x="814179" y="11088756"/>
              <a:ext cx="1251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𝑉𝑇</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𝑒</m:t>
                        </m:r>
                      </m:sub>
                    </m:sSub>
                    <m:r>
                      <a:rPr lang="de-DE" sz="1100" b="0" i="1">
                        <a:latin typeface="Cambria Math" panose="02040503050406030204" pitchFamily="18" charset="0"/>
                      </a:rPr>
                      <m:t>∗(1−</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r>
                      <a:rPr lang="de-DE" sz="1100" b="0" i="1">
                        <a:latin typeface="Cambria Math" panose="02040503050406030204" pitchFamily="18" charset="0"/>
                      </a:rPr>
                      <m:t>)</m:t>
                    </m:r>
                  </m:oMath>
                </m:oMathPara>
              </a14:m>
              <a:endParaRPr lang="de-DE" sz="1100"/>
            </a:p>
          </xdr:txBody>
        </xdr:sp>
      </mc:Choice>
      <mc:Fallback xmlns="">
        <xdr:sp macro="" textlink="">
          <xdr:nvSpPr>
            <xdr:cNvPr id="9" name="Textfeld 8">
              <a:extLst>
                <a:ext uri="{FF2B5EF4-FFF2-40B4-BE49-F238E27FC236}">
                  <a16:creationId xmlns:a16="http://schemas.microsoft.com/office/drawing/2014/main" id="{DAA39FA0-3A18-4B3D-BC89-BA2D4FD6E179}"/>
                </a:ext>
              </a:extLst>
            </xdr:cNvPr>
            <xdr:cNvSpPr txBox="1"/>
          </xdr:nvSpPr>
          <xdr:spPr>
            <a:xfrm>
              <a:off x="814179" y="11088756"/>
              <a:ext cx="1251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𝑃_𝑉𝑇=𝑃_𝑒∗(1−</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a:t>
              </a:r>
              <a:endParaRPr lang="de-DE" sz="1100"/>
            </a:p>
          </xdr:txBody>
        </xdr:sp>
      </mc:Fallback>
    </mc:AlternateContent>
    <xdr:clientData/>
  </xdr:oneCellAnchor>
  <xdr:oneCellAnchor>
    <xdr:from>
      <xdr:col>1</xdr:col>
      <xdr:colOff>0</xdr:colOff>
      <xdr:row>83</xdr:row>
      <xdr:rowOff>0</xdr:rowOff>
    </xdr:from>
    <xdr:ext cx="773737" cy="172227"/>
    <mc:AlternateContent xmlns:mc="http://schemas.openxmlformats.org/markup-compatibility/2006" xmlns:a14="http://schemas.microsoft.com/office/drawing/2010/main">
      <mc:Choice Requires="a14">
        <xdr:sp macro="" textlink="">
          <xdr:nvSpPr>
            <xdr:cNvPr id="11" name="Textfeld 10">
              <a:extLst>
                <a:ext uri="{FF2B5EF4-FFF2-40B4-BE49-F238E27FC236}">
                  <a16:creationId xmlns:a16="http://schemas.microsoft.com/office/drawing/2014/main" id="{81A0DC47-5744-40DE-98AD-DBB7A3DE2D41}"/>
                </a:ext>
              </a:extLst>
            </xdr:cNvPr>
            <xdr:cNvSpPr txBox="1"/>
          </xdr:nvSpPr>
          <xdr:spPr>
            <a:xfrm>
              <a:off x="762000" y="17401761"/>
              <a:ext cx="7737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𝑒</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𝑁</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oMath>
                </m:oMathPara>
              </a14:m>
              <a:endParaRPr lang="de-DE" sz="1100"/>
            </a:p>
          </xdr:txBody>
        </xdr:sp>
      </mc:Choice>
      <mc:Fallback xmlns="">
        <xdr:sp macro="" textlink="">
          <xdr:nvSpPr>
            <xdr:cNvPr id="11" name="Textfeld 10">
              <a:extLst>
                <a:ext uri="{FF2B5EF4-FFF2-40B4-BE49-F238E27FC236}">
                  <a16:creationId xmlns:a16="http://schemas.microsoft.com/office/drawing/2014/main" id="{81A0DC47-5744-40DE-98AD-DBB7A3DE2D41}"/>
                </a:ext>
              </a:extLst>
            </xdr:cNvPr>
            <xdr:cNvSpPr txBox="1"/>
          </xdr:nvSpPr>
          <xdr:spPr>
            <a:xfrm>
              <a:off x="762000" y="17401761"/>
              <a:ext cx="7737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𝑃_𝑒=𝑃_𝑁/</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a:t>
              </a:r>
              <a:endParaRPr lang="de-DE" sz="1100"/>
            </a:p>
          </xdr:txBody>
        </xdr:sp>
      </mc:Fallback>
    </mc:AlternateContent>
    <xdr:clientData/>
  </xdr:oneCellAnchor>
  <xdr:oneCellAnchor>
    <xdr:from>
      <xdr:col>2</xdr:col>
      <xdr:colOff>122583</xdr:colOff>
      <xdr:row>37</xdr:row>
      <xdr:rowOff>23191</xdr:rowOff>
    </xdr:from>
    <xdr:ext cx="1243866" cy="172227"/>
    <mc:AlternateContent xmlns:mc="http://schemas.openxmlformats.org/markup-compatibility/2006" xmlns:a14="http://schemas.microsoft.com/office/drawing/2010/main">
      <mc:Choice Requires="a14">
        <xdr:sp macro="" textlink="">
          <xdr:nvSpPr>
            <xdr:cNvPr id="12" name="Textfeld 11">
              <a:extLst>
                <a:ext uri="{FF2B5EF4-FFF2-40B4-BE49-F238E27FC236}">
                  <a16:creationId xmlns:a16="http://schemas.microsoft.com/office/drawing/2014/main" id="{8C8A5037-8569-47E3-A241-532D0224B68E}"/>
                </a:ext>
              </a:extLst>
            </xdr:cNvPr>
            <xdr:cNvSpPr txBox="1"/>
          </xdr:nvSpPr>
          <xdr:spPr>
            <a:xfrm>
              <a:off x="1704561" y="7866821"/>
              <a:ext cx="124386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𝐹</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 </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𝜆</m:t>
                        </m:r>
                      </m:e>
                      <m:sub>
                        <m:r>
                          <a:rPr lang="de-DE" sz="1100" b="0" i="1">
                            <a:solidFill>
                              <a:schemeClr val="tx1"/>
                            </a:solidFill>
                            <a:effectLst/>
                            <a:latin typeface="Cambria Math" panose="02040503050406030204" pitchFamily="18" charset="0"/>
                            <a:ea typeface="+mn-ea"/>
                            <a:cs typeface="+mn-cs"/>
                          </a:rPr>
                          <m:t>𝐴</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 </m:t>
                    </m:r>
                  </m:oMath>
                </m:oMathPara>
              </a14:m>
              <a:endParaRPr lang="de-DE" sz="1100"/>
            </a:p>
          </xdr:txBody>
        </xdr:sp>
      </mc:Choice>
      <mc:Fallback xmlns="">
        <xdr:sp macro="" textlink="">
          <xdr:nvSpPr>
            <xdr:cNvPr id="12" name="Textfeld 11">
              <a:extLst>
                <a:ext uri="{FF2B5EF4-FFF2-40B4-BE49-F238E27FC236}">
                  <a16:creationId xmlns:a16="http://schemas.microsoft.com/office/drawing/2014/main" id="{8C8A5037-8569-47E3-A241-532D0224B68E}"/>
                </a:ext>
              </a:extLst>
            </xdr:cNvPr>
            <xdr:cNvSpPr txBox="1"/>
          </xdr:nvSpPr>
          <xdr:spPr>
            <a:xfrm>
              <a:off x="1704561" y="7866821"/>
              <a:ext cx="124386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solidFill>
                    <a:schemeClr val="tx1"/>
                  </a:solidFill>
                  <a:effectLst/>
                  <a:latin typeface="+mn-lt"/>
                  <a:ea typeface="+mn-ea"/>
                  <a:cs typeface="+mn-cs"/>
                </a:rPr>
                <a:t>𝑣_𝐹</a:t>
              </a: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𝑣_𝑡ℎ− </a:t>
              </a:r>
              <a:r>
                <a:rPr lang="de-DE" sz="1100" i="0">
                  <a:solidFill>
                    <a:schemeClr val="tx1"/>
                  </a:solidFill>
                  <a:effectLst/>
                  <a:latin typeface="+mn-lt"/>
                  <a:ea typeface="+mn-ea"/>
                  <a:cs typeface="+mn-cs"/>
                </a:rPr>
                <a:t>𝜆_</a:t>
              </a:r>
              <a:r>
                <a:rPr lang="de-DE" sz="1100" b="0" i="0">
                  <a:solidFill>
                    <a:schemeClr val="tx1"/>
                  </a:solidFill>
                  <a:effectLst/>
                  <a:latin typeface="+mn-lt"/>
                  <a:ea typeface="+mn-ea"/>
                  <a:cs typeface="+mn-cs"/>
                </a:rPr>
                <a:t>𝐴∗𝑣_𝑡ℎ</a:t>
              </a:r>
              <a:r>
                <a:rPr lang="de-DE" sz="1100" b="0" i="0">
                  <a:solidFill>
                    <a:schemeClr val="tx1"/>
                  </a:solidFill>
                  <a:effectLst/>
                  <a:latin typeface="Cambria Math" panose="02040503050406030204" pitchFamily="18" charset="0"/>
                  <a:ea typeface="+mn-ea"/>
                  <a:cs typeface="+mn-cs"/>
                </a:rPr>
                <a:t>  </a:t>
              </a:r>
              <a:endParaRPr lang="de-DE" sz="1100"/>
            </a:p>
          </xdr:txBody>
        </xdr:sp>
      </mc:Fallback>
    </mc:AlternateContent>
    <xdr:clientData/>
  </xdr:oneCellAnchor>
  <xdr:oneCellAnchor>
    <xdr:from>
      <xdr:col>3</xdr:col>
      <xdr:colOff>432353</xdr:colOff>
      <xdr:row>37</xdr:row>
      <xdr:rowOff>34786</xdr:rowOff>
    </xdr:from>
    <xdr:ext cx="1127488" cy="172227"/>
    <mc:AlternateContent xmlns:mc="http://schemas.openxmlformats.org/markup-compatibility/2006" xmlns:a14="http://schemas.microsoft.com/office/drawing/2010/main">
      <mc:Choice Requires="a14">
        <xdr:sp macro="" textlink="">
          <xdr:nvSpPr>
            <xdr:cNvPr id="13" name="Textfeld 12">
              <a:extLst>
                <a:ext uri="{FF2B5EF4-FFF2-40B4-BE49-F238E27FC236}">
                  <a16:creationId xmlns:a16="http://schemas.microsoft.com/office/drawing/2014/main" id="{CA471A7D-0D7D-4B0F-968A-AF0F8C0C6F38}"/>
                </a:ext>
              </a:extLst>
            </xdr:cNvPr>
            <xdr:cNvSpPr txBox="1"/>
          </xdr:nvSpPr>
          <xdr:spPr>
            <a:xfrm>
              <a:off x="3149049" y="7878416"/>
              <a:ext cx="112748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𝐹</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(1− </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𝜆</m:t>
                        </m:r>
                      </m:e>
                      <m:sub>
                        <m:r>
                          <a:rPr lang="de-DE" sz="1100" b="0" i="1">
                            <a:solidFill>
                              <a:schemeClr val="tx1"/>
                            </a:solidFill>
                            <a:effectLst/>
                            <a:latin typeface="Cambria Math" panose="02040503050406030204" pitchFamily="18" charset="0"/>
                            <a:ea typeface="+mn-ea"/>
                            <a:cs typeface="+mn-cs"/>
                          </a:rPr>
                          <m:t>𝐴</m:t>
                        </m:r>
                      </m:sub>
                    </m:sSub>
                    <m:r>
                      <a:rPr lang="de-DE" sz="1100" b="0" i="1">
                        <a:solidFill>
                          <a:schemeClr val="tx1"/>
                        </a:solidFill>
                        <a:effectLst/>
                        <a:latin typeface="Cambria Math" panose="02040503050406030204" pitchFamily="18" charset="0"/>
                        <a:ea typeface="+mn-ea"/>
                        <a:cs typeface="+mn-cs"/>
                      </a:rPr>
                      <m:t>) </m:t>
                    </m:r>
                  </m:oMath>
                </m:oMathPara>
              </a14:m>
              <a:endParaRPr lang="de-DE" sz="1100"/>
            </a:p>
          </xdr:txBody>
        </xdr:sp>
      </mc:Choice>
      <mc:Fallback xmlns="">
        <xdr:sp macro="" textlink="">
          <xdr:nvSpPr>
            <xdr:cNvPr id="13" name="Textfeld 12">
              <a:extLst>
                <a:ext uri="{FF2B5EF4-FFF2-40B4-BE49-F238E27FC236}">
                  <a16:creationId xmlns:a16="http://schemas.microsoft.com/office/drawing/2014/main" id="{CA471A7D-0D7D-4B0F-968A-AF0F8C0C6F38}"/>
                </a:ext>
              </a:extLst>
            </xdr:cNvPr>
            <xdr:cNvSpPr txBox="1"/>
          </xdr:nvSpPr>
          <xdr:spPr>
            <a:xfrm>
              <a:off x="3149049" y="7878416"/>
              <a:ext cx="112748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solidFill>
                    <a:schemeClr val="tx1"/>
                  </a:solidFill>
                  <a:effectLst/>
                  <a:latin typeface="+mn-lt"/>
                  <a:ea typeface="+mn-ea"/>
                  <a:cs typeface="+mn-cs"/>
                </a:rPr>
                <a:t>𝑣_𝐹</a:t>
              </a: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𝑣_𝑡ℎ (1− </a:t>
              </a:r>
              <a:r>
                <a:rPr lang="de-DE" sz="1100" i="0">
                  <a:solidFill>
                    <a:schemeClr val="tx1"/>
                  </a:solidFill>
                  <a:effectLst/>
                  <a:latin typeface="+mn-lt"/>
                  <a:ea typeface="+mn-ea"/>
                  <a:cs typeface="+mn-cs"/>
                </a:rPr>
                <a:t>𝜆_</a:t>
              </a:r>
              <a:r>
                <a:rPr lang="de-DE" sz="1100" b="0" i="0">
                  <a:solidFill>
                    <a:schemeClr val="tx1"/>
                  </a:solidFill>
                  <a:effectLst/>
                  <a:latin typeface="+mn-lt"/>
                  <a:ea typeface="+mn-ea"/>
                  <a:cs typeface="+mn-cs"/>
                </a:rPr>
                <a:t>𝐴</a:t>
              </a:r>
              <a:r>
                <a:rPr lang="de-DE" sz="1100" b="0" i="0">
                  <a:solidFill>
                    <a:schemeClr val="tx1"/>
                  </a:solidFill>
                  <a:effectLst/>
                  <a:latin typeface="Cambria Math" panose="02040503050406030204" pitchFamily="18" charset="0"/>
                  <a:ea typeface="+mn-ea"/>
                  <a:cs typeface="+mn-cs"/>
                </a:rPr>
                <a:t>) </a:t>
              </a:r>
              <a:endParaRPr lang="de-DE"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1</xdr:col>
      <xdr:colOff>221974</xdr:colOff>
      <xdr:row>11</xdr:row>
      <xdr:rowOff>15529</xdr:rowOff>
    </xdr:from>
    <xdr:ext cx="1493229" cy="345479"/>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84CB0614-A911-4E78-9C20-70D5C3D2D09F}"/>
                </a:ext>
              </a:extLst>
            </xdr:cNvPr>
            <xdr:cNvSpPr txBox="1"/>
          </xdr:nvSpPr>
          <xdr:spPr>
            <a:xfrm>
              <a:off x="1041952" y="3071812"/>
              <a:ext cx="1493229" cy="3454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𝑀</m:t>
                        </m:r>
                      </m:e>
                      <m:sub>
                        <m:r>
                          <a:rPr lang="de-DE" sz="1100" b="0" i="1">
                            <a:latin typeface="Cambria Math" panose="02040503050406030204" pitchFamily="18" charset="0"/>
                          </a:rPr>
                          <m:t>𝑀𝑜𝑡𝑜𝑟</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𝐸</m:t>
                            </m:r>
                          </m:sub>
                        </m:sSub>
                      </m:num>
                      <m:den>
                        <m:sSub>
                          <m:sSubPr>
                            <m:ctrlPr>
                              <a:rPr lang="de-DE" sz="1100" b="0" i="1">
                                <a:latin typeface="Cambria Math" panose="02040503050406030204" pitchFamily="18" charset="0"/>
                              </a:rPr>
                            </m:ctrlPr>
                          </m:sSubPr>
                          <m:e>
                            <m:r>
                              <a:rPr lang="de-DE" sz="1100" b="0" i="1">
                                <a:latin typeface="Cambria Math" panose="02040503050406030204" pitchFamily="18" charset="0"/>
                              </a:rPr>
                              <m:t>𝑛</m:t>
                            </m:r>
                          </m:e>
                          <m:sub>
                            <m:r>
                              <a:rPr lang="de-DE" sz="1100" b="0" i="1">
                                <a:latin typeface="Cambria Math" panose="02040503050406030204" pitchFamily="18" charset="0"/>
                              </a:rPr>
                              <m:t>𝑀𝑜𝑡𝑜𝑟</m:t>
                            </m:r>
                          </m:sub>
                        </m:sSub>
                      </m:den>
                    </m:f>
                    <m:r>
                      <a:rPr lang="de-DE" sz="1100" b="0" i="1">
                        <a:latin typeface="Cambria Math" panose="02040503050406030204" pitchFamily="18" charset="0"/>
                      </a:rPr>
                      <m:t>∗9549</m:t>
                    </m:r>
                  </m:oMath>
                </m:oMathPara>
              </a14:m>
              <a:endParaRPr lang="de-DE" sz="1100"/>
            </a:p>
          </xdr:txBody>
        </xdr:sp>
      </mc:Choice>
      <mc:Fallback xmlns="">
        <xdr:sp macro="" textlink="">
          <xdr:nvSpPr>
            <xdr:cNvPr id="2" name="Textfeld 1">
              <a:extLst>
                <a:ext uri="{FF2B5EF4-FFF2-40B4-BE49-F238E27FC236}">
                  <a16:creationId xmlns:a16="http://schemas.microsoft.com/office/drawing/2014/main" id="{84CB0614-A911-4E78-9C20-70D5C3D2D09F}"/>
                </a:ext>
              </a:extLst>
            </xdr:cNvPr>
            <xdr:cNvSpPr txBox="1"/>
          </xdr:nvSpPr>
          <xdr:spPr>
            <a:xfrm>
              <a:off x="1041952" y="3071812"/>
              <a:ext cx="1493229" cy="3454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𝑀_𝑀𝑜𝑡𝑜𝑟=𝑃_𝐸/𝑛_𝑀𝑜𝑡𝑜𝑟 ∗9549</a:t>
              </a:r>
              <a:endParaRPr lang="de-DE" sz="1100"/>
            </a:p>
          </xdr:txBody>
        </xdr:sp>
      </mc:Fallback>
    </mc:AlternateContent>
    <xdr:clientData/>
  </xdr:oneCellAnchor>
  <xdr:twoCellAnchor>
    <xdr:from>
      <xdr:col>11</xdr:col>
      <xdr:colOff>0</xdr:colOff>
      <xdr:row>29</xdr:row>
      <xdr:rowOff>0</xdr:rowOff>
    </xdr:from>
    <xdr:to>
      <xdr:col>13</xdr:col>
      <xdr:colOff>123825</xdr:colOff>
      <xdr:row>30</xdr:row>
      <xdr:rowOff>142875</xdr:rowOff>
    </xdr:to>
    <xdr:pic>
      <xdr:nvPicPr>
        <xdr:cNvPr id="3" name="Grafik 2">
          <a:extLst>
            <a:ext uri="{FF2B5EF4-FFF2-40B4-BE49-F238E27FC236}">
              <a16:creationId xmlns:a16="http://schemas.microsoft.com/office/drawing/2014/main" id="{CEC49911-3B54-9D2F-4082-F9B178BF7DF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58350" y="4010025"/>
          <a:ext cx="164782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786848</xdr:colOff>
      <xdr:row>25</xdr:row>
      <xdr:rowOff>132521</xdr:rowOff>
    </xdr:from>
    <xdr:ext cx="2581274" cy="439095"/>
    <mc:AlternateContent xmlns:mc="http://schemas.openxmlformats.org/markup-compatibility/2006" xmlns:a14="http://schemas.microsoft.com/office/drawing/2010/main">
      <mc:Choice Requires="a14">
        <xdr:sp macro="" textlink="">
          <xdr:nvSpPr>
            <xdr:cNvPr id="5" name="Textfeld 4">
              <a:extLst>
                <a:ext uri="{FF2B5EF4-FFF2-40B4-BE49-F238E27FC236}">
                  <a16:creationId xmlns:a16="http://schemas.microsoft.com/office/drawing/2014/main" id="{215A918E-A08E-48DC-AE8A-10F6F082EAC3}"/>
                </a:ext>
              </a:extLst>
            </xdr:cNvPr>
            <xdr:cNvSpPr txBox="1"/>
          </xdr:nvSpPr>
          <xdr:spPr>
            <a:xfrm>
              <a:off x="786848" y="6178825"/>
              <a:ext cx="2581274" cy="4390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r>
                      <a:rPr lang="de-DE" sz="1100" b="0" i="1">
                        <a:latin typeface="Cambria Math"/>
                      </a:rPr>
                      <m:t>=</m:t>
                    </m:r>
                    <m:sSub>
                      <m:sSubPr>
                        <m:ctrlPr>
                          <a:rPr lang="de-DE" sz="1100" b="0" i="1">
                            <a:latin typeface="Cambria Math" panose="02040503050406030204" pitchFamily="18" charset="0"/>
                          </a:rPr>
                        </m:ctrlPr>
                      </m:sSubPr>
                      <m:e>
                        <m:r>
                          <a:rPr lang="de-DE" sz="1100" b="0" i="1">
                            <a:solidFill>
                              <a:schemeClr val="tx1"/>
                            </a:solidFill>
                            <a:effectLst/>
                            <a:latin typeface="Cambria Math" panose="02040503050406030204" pitchFamily="18" charset="0"/>
                            <a:ea typeface="+mn-ea"/>
                            <a:cs typeface="+mn-cs"/>
                          </a:rPr>
                          <m:t>0,3768∗</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𝑟</m:t>
                            </m:r>
                          </m:e>
                          <m:sub>
                            <m:r>
                              <a:rPr lang="de-DE" sz="1100" b="0" i="1">
                                <a:solidFill>
                                  <a:schemeClr val="tx1"/>
                                </a:solidFill>
                                <a:effectLst/>
                                <a:latin typeface="Cambria Math" panose="02040503050406030204" pitchFamily="18" charset="0"/>
                                <a:ea typeface="+mn-ea"/>
                                <a:cs typeface="+mn-cs"/>
                              </a:rPr>
                              <m:t>𝑑𝑦𝑛</m:t>
                            </m:r>
                          </m:sub>
                        </m:sSub>
                        <m:r>
                          <a:rPr lang="de-DE" sz="1100" b="0" i="1">
                            <a:solidFill>
                              <a:schemeClr val="tx1"/>
                            </a:solidFill>
                            <a:effectLst/>
                            <a:latin typeface="Cambria Math" panose="02040503050406030204" pitchFamily="18" charset="0"/>
                            <a:ea typeface="+mn-ea"/>
                            <a:cs typeface="+mn-cs"/>
                          </a:rPr>
                          <m:t>∗</m:t>
                        </m:r>
                        <m:r>
                          <a:rPr lang="de-DE" sz="1100" b="0" i="1">
                            <a:latin typeface="Cambria Math"/>
                          </a:rPr>
                          <m:t>𝑛</m:t>
                        </m:r>
                      </m:e>
                      <m:sub>
                        <m:r>
                          <a:rPr lang="de-DE" sz="1100" b="0" i="1">
                            <a:latin typeface="Cambria Math"/>
                          </a:rPr>
                          <m:t>𝑀</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𝑖</m:t>
                            </m:r>
                          </m:e>
                          <m:sub>
                            <m:r>
                              <a:rPr lang="de-DE" sz="1100" b="0" i="1">
                                <a:solidFill>
                                  <a:schemeClr val="tx1"/>
                                </a:solidFill>
                                <a:effectLst/>
                                <a:latin typeface="Cambria Math" panose="02040503050406030204" pitchFamily="18" charset="0"/>
                                <a:ea typeface="+mn-ea"/>
                                <a:cs typeface="+mn-cs"/>
                              </a:rPr>
                              <m:t>𝐴</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𝑖</m:t>
                            </m:r>
                          </m:e>
                          <m:sub>
                            <m:r>
                              <a:rPr lang="de-DE" sz="1100" b="0" i="1">
                                <a:solidFill>
                                  <a:schemeClr val="tx1"/>
                                </a:solidFill>
                                <a:effectLst/>
                                <a:latin typeface="Cambria Math" panose="02040503050406030204" pitchFamily="18" charset="0"/>
                                <a:ea typeface="+mn-ea"/>
                                <a:cs typeface="+mn-cs"/>
                              </a:rPr>
                              <m:t>5</m:t>
                            </m:r>
                          </m:sub>
                        </m:sSub>
                      </m:den>
                    </m:f>
                  </m:oMath>
                </m:oMathPara>
              </a14:m>
              <a:endParaRPr lang="de-DE" sz="1100"/>
            </a:p>
          </xdr:txBody>
        </xdr:sp>
      </mc:Choice>
      <mc:Fallback xmlns="">
        <xdr:sp macro="" textlink="">
          <xdr:nvSpPr>
            <xdr:cNvPr id="5" name="Textfeld 4">
              <a:extLst>
                <a:ext uri="{FF2B5EF4-FFF2-40B4-BE49-F238E27FC236}">
                  <a16:creationId xmlns:a16="http://schemas.microsoft.com/office/drawing/2014/main" id="{215A918E-A08E-48DC-AE8A-10F6F082EAC3}"/>
                </a:ext>
              </a:extLst>
            </xdr:cNvPr>
            <xdr:cNvSpPr txBox="1"/>
          </xdr:nvSpPr>
          <xdr:spPr>
            <a:xfrm>
              <a:off x="786848" y="6178825"/>
              <a:ext cx="2581274" cy="4390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de-DE" sz="1100" b="0" i="0">
                  <a:latin typeface="Cambria Math" panose="02040503050406030204" pitchFamily="18" charset="0"/>
                </a:rPr>
                <a:t>𝑣_𝑡ℎ</a:t>
              </a:r>
              <a:r>
                <a:rPr lang="de-DE" sz="1100" b="0" i="0">
                  <a:latin typeface="Cambria Math"/>
                </a:rPr>
                <a:t>=</a:t>
              </a: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0,3768∗𝑟_𝑑𝑦𝑛∗</a:t>
              </a:r>
              <a:r>
                <a:rPr lang="de-DE" sz="1100" b="0" i="0">
                  <a:latin typeface="Cambria Math"/>
                </a:rPr>
                <a:t>𝑛</a:t>
              </a:r>
              <a:r>
                <a:rPr lang="de-DE" sz="1100" b="0" i="0">
                  <a:latin typeface="Cambria Math" panose="02040503050406030204" pitchFamily="18" charset="0"/>
                </a:rPr>
                <a:t>〗_</a:t>
              </a:r>
              <a:r>
                <a:rPr lang="de-DE" sz="1100" b="0" i="0">
                  <a:latin typeface="Cambria Math"/>
                </a:rPr>
                <a:t>𝑀</a:t>
              </a:r>
              <a:r>
                <a:rPr lang="de-DE" sz="1100" b="0" i="0">
                  <a:latin typeface="Cambria Math" panose="02040503050406030204" pitchFamily="18" charset="0"/>
                </a:rPr>
                <a:t>∗1/(</a:t>
              </a:r>
              <a:r>
                <a:rPr lang="de-DE" sz="1100" b="0" i="0">
                  <a:solidFill>
                    <a:schemeClr val="tx1"/>
                  </a:solidFill>
                  <a:effectLst/>
                  <a:latin typeface="Cambria Math" panose="02040503050406030204" pitchFamily="18" charset="0"/>
                  <a:ea typeface="+mn-ea"/>
                  <a:cs typeface="+mn-cs"/>
                </a:rPr>
                <a:t>𝑖_𝐴∗𝑖_5 )</a:t>
              </a:r>
              <a:endParaRPr lang="de-DE" sz="1100"/>
            </a:p>
          </xdr:txBody>
        </xdr:sp>
      </mc:Fallback>
    </mc:AlternateContent>
    <xdr:clientData/>
  </xdr:oneCellAnchor>
  <xdr:oneCellAnchor>
    <xdr:from>
      <xdr:col>0</xdr:col>
      <xdr:colOff>790161</xdr:colOff>
      <xdr:row>27</xdr:row>
      <xdr:rowOff>168967</xdr:rowOff>
    </xdr:from>
    <xdr:ext cx="1611796" cy="455574"/>
    <mc:AlternateContent xmlns:mc="http://schemas.openxmlformats.org/markup-compatibility/2006" xmlns:a14="http://schemas.microsoft.com/office/drawing/2010/main">
      <mc:Choice Requires="a14">
        <xdr:sp macro="" textlink="">
          <xdr:nvSpPr>
            <xdr:cNvPr id="6" name="Textfeld 5">
              <a:extLst>
                <a:ext uri="{FF2B5EF4-FFF2-40B4-BE49-F238E27FC236}">
                  <a16:creationId xmlns:a16="http://schemas.microsoft.com/office/drawing/2014/main" id="{423F5DEC-813D-421A-99ED-BFBC448638EB}"/>
                </a:ext>
              </a:extLst>
            </xdr:cNvPr>
            <xdr:cNvSpPr txBox="1"/>
          </xdr:nvSpPr>
          <xdr:spPr>
            <a:xfrm>
              <a:off x="790161" y="6223554"/>
              <a:ext cx="1611796" cy="455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de-DE" sz="1100" b="0" i="1">
                            <a:latin typeface="Cambria Math" panose="02040503050406030204" pitchFamily="18" charset="0"/>
                          </a:rPr>
                        </m:ctrlPr>
                      </m:fPr>
                      <m:num>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𝑖</m:t>
                            </m:r>
                          </m:e>
                          <m:sub>
                            <m:r>
                              <a:rPr lang="de-DE" sz="1100" b="0" i="1">
                                <a:solidFill>
                                  <a:schemeClr val="tx1"/>
                                </a:solidFill>
                                <a:effectLst/>
                                <a:latin typeface="Cambria Math" panose="02040503050406030204" pitchFamily="18" charset="0"/>
                                <a:ea typeface="+mn-ea"/>
                                <a:cs typeface="+mn-cs"/>
                              </a:rPr>
                              <m:t>𝐴</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𝑖</m:t>
                            </m:r>
                          </m:e>
                          <m:sub>
                            <m:r>
                              <a:rPr lang="de-DE" sz="1100" b="0" i="1">
                                <a:solidFill>
                                  <a:schemeClr val="tx1"/>
                                </a:solidFill>
                                <a:effectLst/>
                                <a:latin typeface="Cambria Math" panose="02040503050406030204" pitchFamily="18" charset="0"/>
                                <a:ea typeface="+mn-ea"/>
                                <a:cs typeface="+mn-cs"/>
                              </a:rPr>
                              <m:t>5</m:t>
                            </m:r>
                          </m:sub>
                        </m:sSub>
                      </m:num>
                      <m:den>
                        <m:r>
                          <a:rPr lang="de-DE" sz="1100" b="0" i="1">
                            <a:solidFill>
                              <a:schemeClr val="tx1"/>
                            </a:solidFill>
                            <a:effectLst/>
                            <a:latin typeface="Cambria Math" panose="02040503050406030204" pitchFamily="18" charset="0"/>
                            <a:ea typeface="+mn-ea"/>
                            <a:cs typeface="+mn-cs"/>
                          </a:rPr>
                          <m:t>0,3768∗</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𝑟</m:t>
                            </m:r>
                          </m:e>
                          <m:sub>
                            <m:r>
                              <a:rPr lang="de-DE" sz="1100" b="0" i="1">
                                <a:solidFill>
                                  <a:schemeClr val="tx1"/>
                                </a:solidFill>
                                <a:effectLst/>
                                <a:latin typeface="Cambria Math" panose="02040503050406030204" pitchFamily="18" charset="0"/>
                                <a:ea typeface="+mn-ea"/>
                                <a:cs typeface="+mn-cs"/>
                              </a:rPr>
                              <m:t>𝑑𝑦𝑛</m:t>
                            </m:r>
                          </m:sub>
                        </m:sSub>
                      </m:den>
                    </m:f>
                    <m:r>
                      <a:rPr lang="de-DE" sz="1100" b="0" i="1">
                        <a:latin typeface="Cambria Math"/>
                      </a:rPr>
                      <m:t>=</m:t>
                    </m:r>
                    <m:sSub>
                      <m:sSubPr>
                        <m:ctrlPr>
                          <a:rPr lang="de-DE" sz="1100" b="0" i="1">
                            <a:latin typeface="Cambria Math" panose="02040503050406030204" pitchFamily="18" charset="0"/>
                          </a:rPr>
                        </m:ctrlPr>
                      </m:sSubPr>
                      <m:e>
                        <m:r>
                          <a:rPr lang="de-DE" sz="1100" b="0" i="1">
                            <a:latin typeface="Cambria Math"/>
                          </a:rPr>
                          <m:t>𝑛</m:t>
                        </m:r>
                      </m:e>
                      <m:sub>
                        <m:r>
                          <a:rPr lang="de-DE" sz="1100" b="0" i="1">
                            <a:latin typeface="Cambria Math"/>
                          </a:rPr>
                          <m:t>𝑀</m:t>
                        </m:r>
                      </m:sub>
                    </m:sSub>
                  </m:oMath>
                </m:oMathPara>
              </a14:m>
              <a:endParaRPr lang="de-DE" sz="1100"/>
            </a:p>
          </xdr:txBody>
        </xdr:sp>
      </mc:Choice>
      <mc:Fallback xmlns="">
        <xdr:sp macro="" textlink="">
          <xdr:nvSpPr>
            <xdr:cNvPr id="6" name="Textfeld 5">
              <a:extLst>
                <a:ext uri="{FF2B5EF4-FFF2-40B4-BE49-F238E27FC236}">
                  <a16:creationId xmlns:a16="http://schemas.microsoft.com/office/drawing/2014/main" id="{423F5DEC-813D-421A-99ED-BFBC448638EB}"/>
                </a:ext>
              </a:extLst>
            </xdr:cNvPr>
            <xdr:cNvSpPr txBox="1"/>
          </xdr:nvSpPr>
          <xdr:spPr>
            <a:xfrm>
              <a:off x="790161" y="6223554"/>
              <a:ext cx="1611796" cy="455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𝑣_𝑡ℎ∗𝑖_𝐴∗𝑖_5)/(0,3768∗𝑟_𝑑𝑦𝑛 )</a:t>
              </a:r>
              <a:r>
                <a:rPr lang="de-DE" sz="1100" b="0" i="0">
                  <a:latin typeface="Cambria Math"/>
                </a:rPr>
                <a:t>=𝑛</a:t>
              </a:r>
              <a:r>
                <a:rPr lang="de-DE" sz="1100" b="0" i="0">
                  <a:latin typeface="Cambria Math" panose="02040503050406030204" pitchFamily="18" charset="0"/>
                </a:rPr>
                <a:t>_</a:t>
              </a:r>
              <a:r>
                <a:rPr lang="de-DE" sz="1100" b="0" i="0">
                  <a:latin typeface="Cambria Math"/>
                </a:rPr>
                <a:t>𝑀</a:t>
              </a:r>
              <a:endParaRPr lang="de-DE" sz="1100"/>
            </a:p>
          </xdr:txBody>
        </xdr:sp>
      </mc:Fallback>
    </mc:AlternateContent>
    <xdr:clientData/>
  </xdr:oneCellAnchor>
  <xdr:oneCellAnchor>
    <xdr:from>
      <xdr:col>0</xdr:col>
      <xdr:colOff>969066</xdr:colOff>
      <xdr:row>38</xdr:row>
      <xdr:rowOff>157371</xdr:rowOff>
    </xdr:from>
    <xdr:ext cx="1076325" cy="442365"/>
    <mc:AlternateContent xmlns:mc="http://schemas.openxmlformats.org/markup-compatibility/2006" xmlns:a14="http://schemas.microsoft.com/office/drawing/2010/main">
      <mc:Choice Requires="a14">
        <xdr:sp macro="" textlink="">
          <xdr:nvSpPr>
            <xdr:cNvPr id="8" name="Textfeld 7">
              <a:extLst>
                <a:ext uri="{FF2B5EF4-FFF2-40B4-BE49-F238E27FC236}">
                  <a16:creationId xmlns:a16="http://schemas.microsoft.com/office/drawing/2014/main" id="{7F048FC3-B6F6-4CC4-83AE-83B572168BC1}"/>
                </a:ext>
              </a:extLst>
            </xdr:cNvPr>
            <xdr:cNvSpPr txBox="1"/>
          </xdr:nvSpPr>
          <xdr:spPr>
            <a:xfrm>
              <a:off x="969066" y="9276523"/>
              <a:ext cx="1076325" cy="4423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a:rPr>
                          <m:t>𝐵</m:t>
                        </m:r>
                      </m:e>
                      <m:sub>
                        <m:r>
                          <a:rPr lang="de-DE" sz="1100" b="0" i="1">
                            <a:latin typeface="Cambria Math"/>
                          </a:rPr>
                          <m:t>𝑆</m:t>
                        </m:r>
                      </m:sub>
                    </m:sSub>
                    <m:r>
                      <a:rPr lang="de-DE" sz="1100" b="0" i="1">
                        <a:latin typeface="Cambria Math"/>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a:rPr>
                              <m:t>𝑃</m:t>
                            </m:r>
                          </m:e>
                          <m:sub>
                            <m:r>
                              <a:rPr lang="de-DE" sz="1100" b="0" i="1">
                                <a:latin typeface="Cambria Math"/>
                              </a:rPr>
                              <m:t>𝑒</m:t>
                            </m:r>
                          </m:sub>
                        </m:sSub>
                        <m:r>
                          <a:rPr lang="de-DE" sz="1100" b="0" i="1">
                            <a:latin typeface="Cambria Math"/>
                          </a:rPr>
                          <m:t>∗</m:t>
                        </m:r>
                        <m:sSub>
                          <m:sSubPr>
                            <m:ctrlPr>
                              <a:rPr lang="de-DE" sz="1100" b="0" i="1">
                                <a:latin typeface="Cambria Math" panose="02040503050406030204" pitchFamily="18" charset="0"/>
                              </a:rPr>
                            </m:ctrlPr>
                          </m:sSubPr>
                          <m:e>
                            <m:r>
                              <a:rPr lang="de-DE" sz="1100" b="0" i="1">
                                <a:latin typeface="Cambria Math"/>
                              </a:rPr>
                              <m:t>𝑏</m:t>
                            </m:r>
                          </m:e>
                          <m:sub>
                            <m:r>
                              <a:rPr lang="de-DE" sz="1100" b="0" i="1">
                                <a:latin typeface="Cambria Math"/>
                              </a:rPr>
                              <m:t>𝑒</m:t>
                            </m:r>
                          </m:sub>
                        </m:sSub>
                      </m:num>
                      <m:den>
                        <m:sSub>
                          <m:sSubPr>
                            <m:ctrlPr>
                              <a:rPr lang="de-DE" sz="1100" b="0" i="1">
                                <a:latin typeface="Cambria Math" panose="02040503050406030204" pitchFamily="18" charset="0"/>
                              </a:rPr>
                            </m:ctrlPr>
                          </m:sSubPr>
                          <m:e>
                            <m:r>
                              <a:rPr lang="de-DE" sz="1100" b="0" i="1">
                                <a:latin typeface="Cambria Math"/>
                                <a:ea typeface="Cambria Math"/>
                              </a:rPr>
                              <m:t>𝜌</m:t>
                            </m:r>
                          </m:e>
                          <m:sub>
                            <m:r>
                              <a:rPr lang="de-DE" sz="1100" b="0" i="1">
                                <a:latin typeface="Cambria Math"/>
                              </a:rPr>
                              <m:t>𝐾𝑟</m:t>
                            </m:r>
                          </m:sub>
                        </m:sSub>
                        <m:sSub>
                          <m:sSubPr>
                            <m:ctrlPr>
                              <a:rPr lang="de-DE" sz="1100" b="0" i="1">
                                <a:latin typeface="Cambria Math" panose="02040503050406030204" pitchFamily="18" charset="0"/>
                              </a:rPr>
                            </m:ctrlPr>
                          </m:sSubPr>
                          <m:e>
                            <m:r>
                              <a:rPr lang="de-DE" sz="1100" b="0" i="1">
                                <a:latin typeface="Cambria Math"/>
                              </a:rPr>
                              <m:t>∗</m:t>
                            </m:r>
                            <m:r>
                              <a:rPr lang="de-DE" sz="1100" b="0" i="1">
                                <a:latin typeface="Cambria Math"/>
                              </a:rPr>
                              <m:t>𝑣</m:t>
                            </m:r>
                          </m:e>
                          <m:sub>
                            <m:r>
                              <a:rPr lang="de-DE" sz="1100" b="0" i="1">
                                <a:latin typeface="Cambria Math"/>
                              </a:rPr>
                              <m:t>𝐹</m:t>
                            </m:r>
                          </m:sub>
                        </m:sSub>
                      </m:den>
                    </m:f>
                  </m:oMath>
                </m:oMathPara>
              </a14:m>
              <a:endParaRPr lang="de-DE" sz="1100"/>
            </a:p>
          </xdr:txBody>
        </xdr:sp>
      </mc:Choice>
      <mc:Fallback xmlns="">
        <xdr:sp macro="" textlink="">
          <xdr:nvSpPr>
            <xdr:cNvPr id="8" name="Textfeld 7">
              <a:extLst>
                <a:ext uri="{FF2B5EF4-FFF2-40B4-BE49-F238E27FC236}">
                  <a16:creationId xmlns:a16="http://schemas.microsoft.com/office/drawing/2014/main" id="{7F048FC3-B6F6-4CC4-83AE-83B572168BC1}"/>
                </a:ext>
              </a:extLst>
            </xdr:cNvPr>
            <xdr:cNvSpPr txBox="1"/>
          </xdr:nvSpPr>
          <xdr:spPr>
            <a:xfrm>
              <a:off x="969066" y="9276523"/>
              <a:ext cx="1076325" cy="4423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de-DE" sz="1100" b="0" i="0">
                  <a:latin typeface="Cambria Math"/>
                </a:rPr>
                <a:t>𝐵</a:t>
              </a:r>
              <a:r>
                <a:rPr lang="de-DE" sz="1100" b="0" i="0">
                  <a:latin typeface="Cambria Math" panose="02040503050406030204" pitchFamily="18" charset="0"/>
                </a:rPr>
                <a:t>_</a:t>
              </a:r>
              <a:r>
                <a:rPr lang="de-DE" sz="1100" b="0" i="0">
                  <a:latin typeface="Cambria Math"/>
                </a:rPr>
                <a:t>𝑆=</a:t>
              </a:r>
              <a:r>
                <a:rPr lang="de-DE" sz="1100" b="0" i="0">
                  <a:latin typeface="Cambria Math" panose="02040503050406030204" pitchFamily="18" charset="0"/>
                </a:rPr>
                <a:t>(</a:t>
              </a:r>
              <a:r>
                <a:rPr lang="de-DE" sz="1100" b="0" i="0">
                  <a:latin typeface="Cambria Math"/>
                </a:rPr>
                <a:t>𝑃</a:t>
              </a:r>
              <a:r>
                <a:rPr lang="de-DE" sz="1100" b="0" i="0">
                  <a:latin typeface="Cambria Math" panose="02040503050406030204" pitchFamily="18" charset="0"/>
                </a:rPr>
                <a:t>_</a:t>
              </a:r>
              <a:r>
                <a:rPr lang="de-DE" sz="1100" b="0" i="0">
                  <a:latin typeface="Cambria Math"/>
                </a:rPr>
                <a:t>𝑒∗𝑏</a:t>
              </a:r>
              <a:r>
                <a:rPr lang="de-DE" sz="1100" b="0" i="0">
                  <a:latin typeface="Cambria Math" panose="02040503050406030204" pitchFamily="18" charset="0"/>
                </a:rPr>
                <a:t>_</a:t>
              </a:r>
              <a:r>
                <a:rPr lang="de-DE" sz="1100" b="0" i="0">
                  <a:latin typeface="Cambria Math"/>
                </a:rPr>
                <a:t>𝑒</a:t>
              </a:r>
              <a:r>
                <a:rPr lang="de-DE" sz="1100" b="0" i="0">
                  <a:latin typeface="Cambria Math" panose="02040503050406030204" pitchFamily="18" charset="0"/>
                </a:rPr>
                <a:t>)/(</a:t>
              </a:r>
              <a:r>
                <a:rPr lang="de-DE" sz="1100" b="0" i="0">
                  <a:latin typeface="Cambria Math"/>
                  <a:ea typeface="Cambria Math"/>
                </a:rPr>
                <a:t>𝜌</a:t>
              </a:r>
              <a:r>
                <a:rPr lang="de-DE" sz="1100" b="0" i="0">
                  <a:latin typeface="Cambria Math" panose="02040503050406030204" pitchFamily="18" charset="0"/>
                  <a:ea typeface="Cambria Math"/>
                </a:rPr>
                <a:t>_</a:t>
              </a:r>
              <a:r>
                <a:rPr lang="de-DE" sz="1100" b="0" i="0">
                  <a:latin typeface="Cambria Math"/>
                </a:rPr>
                <a:t>𝐾𝑟</a:t>
              </a:r>
              <a:r>
                <a:rPr lang="de-DE" sz="1100" b="0" i="0">
                  <a:latin typeface="Cambria Math" panose="02040503050406030204" pitchFamily="18" charset="0"/>
                </a:rPr>
                <a:t> 〖</a:t>
              </a:r>
              <a:r>
                <a:rPr lang="de-DE" sz="1100" b="0" i="0">
                  <a:latin typeface="Cambria Math"/>
                </a:rPr>
                <a:t>∗𝑣</a:t>
              </a:r>
              <a:r>
                <a:rPr lang="de-DE" sz="1100" b="0" i="0">
                  <a:latin typeface="Cambria Math" panose="02040503050406030204" pitchFamily="18" charset="0"/>
                </a:rPr>
                <a:t>〗_</a:t>
              </a:r>
              <a:r>
                <a:rPr lang="de-DE" sz="1100" b="0" i="0">
                  <a:latin typeface="Cambria Math"/>
                </a:rPr>
                <a:t>𝐹</a:t>
              </a:r>
              <a:r>
                <a:rPr lang="de-DE" sz="1100" b="0" i="0">
                  <a:latin typeface="Cambria Math" panose="02040503050406030204" pitchFamily="18" charset="0"/>
                </a:rPr>
                <a:t> )</a:t>
              </a:r>
              <a:endParaRPr lang="de-DE"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1033669</xdr:colOff>
      <xdr:row>18</xdr:row>
      <xdr:rowOff>172278</xdr:rowOff>
    </xdr:from>
    <xdr:ext cx="3403752" cy="351891"/>
    <mc:AlternateContent xmlns:mc="http://schemas.openxmlformats.org/markup-compatibility/2006" xmlns:a14="http://schemas.microsoft.com/office/drawing/2010/main">
      <mc:Choice Requires="a14">
        <xdr:sp macro="" textlink="">
          <xdr:nvSpPr>
            <xdr:cNvPr id="12" name="Textfeld 11">
              <a:extLst>
                <a:ext uri="{FF2B5EF4-FFF2-40B4-BE49-F238E27FC236}">
                  <a16:creationId xmlns:a16="http://schemas.microsoft.com/office/drawing/2014/main" id="{FE827F4C-5868-830F-8A3B-2BD96F70CD05}"/>
                </a:ext>
              </a:extLst>
            </xdr:cNvPr>
            <xdr:cNvSpPr txBox="1"/>
          </xdr:nvSpPr>
          <xdr:spPr>
            <a:xfrm>
              <a:off x="1033669" y="4702865"/>
              <a:ext cx="3403752" cy="351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𝐽</m:t>
                        </m:r>
                      </m:e>
                      <m:sub>
                        <m:r>
                          <a:rPr lang="de-DE" sz="1100" i="1">
                            <a:solidFill>
                              <a:schemeClr val="tx1"/>
                            </a:solidFill>
                            <a:effectLst/>
                            <a:latin typeface="Cambria Math" panose="02040503050406030204" pitchFamily="18" charset="0"/>
                            <a:ea typeface="+mn-ea"/>
                            <a:cs typeface="+mn-cs"/>
                          </a:rPr>
                          <m:t>𝑟𝑒𝑑</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𝐽</m:t>
                        </m:r>
                      </m:e>
                      <m:sub>
                        <m:r>
                          <a:rPr lang="de-DE" sz="1100" i="1">
                            <a:solidFill>
                              <a:schemeClr val="tx1"/>
                            </a:solidFill>
                            <a:effectLst/>
                            <a:latin typeface="Cambria Math" panose="02040503050406030204" pitchFamily="18" charset="0"/>
                            <a:ea typeface="+mn-ea"/>
                            <a:cs typeface="+mn-cs"/>
                          </a:rPr>
                          <m:t>𝑅𝑎𝑑</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sSup>
                          <m:sSupPr>
                            <m:ctrlPr>
                              <a:rPr lang="de-DE" sz="1100" i="1">
                                <a:solidFill>
                                  <a:schemeClr val="tx1"/>
                                </a:solidFill>
                                <a:effectLst/>
                                <a:latin typeface="Cambria Math" panose="02040503050406030204" pitchFamily="18" charset="0"/>
                                <a:ea typeface="+mn-ea"/>
                                <a:cs typeface="+mn-cs"/>
                              </a:rPr>
                            </m:ctrlPr>
                          </m:sSupPr>
                          <m:e>
                            <m:r>
                              <a:rPr lang="de-DE" sz="1100" i="1">
                                <a:solidFill>
                                  <a:schemeClr val="tx1"/>
                                </a:solidFill>
                                <a:effectLst/>
                                <a:latin typeface="Cambria Math" panose="02040503050406030204" pitchFamily="18" charset="0"/>
                                <a:ea typeface="+mn-ea"/>
                                <a:cs typeface="+mn-cs"/>
                              </a:rPr>
                              <m:t>𝑖</m:t>
                            </m:r>
                          </m:e>
                          <m:sup>
                            <m:r>
                              <a:rPr lang="de-DE" sz="1100" i="1">
                                <a:solidFill>
                                  <a:schemeClr val="tx1"/>
                                </a:solidFill>
                                <a:effectLst/>
                                <a:latin typeface="Cambria Math" panose="02040503050406030204" pitchFamily="18" charset="0"/>
                                <a:ea typeface="+mn-ea"/>
                                <a:cs typeface="+mn-cs"/>
                              </a:rPr>
                              <m:t>2</m:t>
                            </m:r>
                          </m:sup>
                        </m:sSup>
                      </m:e>
                      <m:sub>
                        <m:r>
                          <a:rPr lang="de-DE" sz="1100" i="1">
                            <a:solidFill>
                              <a:schemeClr val="tx1"/>
                            </a:solidFill>
                            <a:effectLst/>
                            <a:latin typeface="Cambria Math" panose="02040503050406030204" pitchFamily="18" charset="0"/>
                            <a:ea typeface="+mn-ea"/>
                            <a:cs typeface="+mn-cs"/>
                          </a:rPr>
                          <m:t>𝐴</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𝐽</m:t>
                        </m:r>
                      </m:e>
                      <m:sub>
                        <m:r>
                          <a:rPr lang="de-DE" sz="1100" i="1">
                            <a:solidFill>
                              <a:schemeClr val="tx1"/>
                            </a:solidFill>
                            <a:effectLst/>
                            <a:latin typeface="Cambria Math" panose="02040503050406030204" pitchFamily="18" charset="0"/>
                            <a:ea typeface="+mn-ea"/>
                            <a:cs typeface="+mn-cs"/>
                          </a:rPr>
                          <m:t>𝐴𝑛𝑡𝑟</m:t>
                        </m:r>
                      </m:sub>
                    </m:sSub>
                    <m:sSub>
                      <m:sSubPr>
                        <m:ctrlPr>
                          <a:rPr lang="de-DE" sz="1100" i="1">
                            <a:solidFill>
                              <a:schemeClr val="tx1"/>
                            </a:solidFill>
                            <a:effectLst/>
                            <a:latin typeface="Cambria Math" panose="02040503050406030204" pitchFamily="18" charset="0"/>
                            <a:ea typeface="+mn-ea"/>
                            <a:cs typeface="+mn-cs"/>
                          </a:rPr>
                        </m:ctrlPr>
                      </m:sSubPr>
                      <m:e>
                        <m:sSup>
                          <m:sSupPr>
                            <m:ctrlPr>
                              <a:rPr lang="de-DE" sz="1100" i="1">
                                <a:solidFill>
                                  <a:schemeClr val="tx1"/>
                                </a:solidFill>
                                <a:effectLst/>
                                <a:latin typeface="Cambria Math" panose="02040503050406030204" pitchFamily="18" charset="0"/>
                                <a:ea typeface="+mn-ea"/>
                                <a:cs typeface="+mn-cs"/>
                              </a:rPr>
                            </m:ctrlPr>
                          </m:sSupPr>
                          <m:e>
                            <m:r>
                              <a:rPr lang="de-DE" sz="110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mn-ea"/>
                                <a:cs typeface="+mn-cs"/>
                              </a:rPr>
                              <m:t>𝑖</m:t>
                            </m:r>
                          </m:e>
                          <m:sup>
                            <m:r>
                              <a:rPr lang="de-DE" sz="1100" i="1">
                                <a:solidFill>
                                  <a:schemeClr val="tx1"/>
                                </a:solidFill>
                                <a:effectLst/>
                                <a:latin typeface="Cambria Math" panose="02040503050406030204" pitchFamily="18" charset="0"/>
                                <a:ea typeface="+mn-ea"/>
                                <a:cs typeface="+mn-cs"/>
                              </a:rPr>
                              <m:t>2</m:t>
                            </m:r>
                          </m:sup>
                        </m:sSup>
                      </m:e>
                      <m:sub>
                        <m:r>
                          <a:rPr lang="de-DE" sz="1100" i="1">
                            <a:solidFill>
                              <a:schemeClr val="tx1"/>
                            </a:solidFill>
                            <a:effectLst/>
                            <a:latin typeface="Cambria Math" panose="02040503050406030204" pitchFamily="18" charset="0"/>
                            <a:ea typeface="+mn-ea"/>
                            <a:cs typeface="+mn-cs"/>
                          </a:rPr>
                          <m:t>𝐴</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sSup>
                          <m:sSupPr>
                            <m:ctrlPr>
                              <a:rPr lang="de-DE" sz="1100" i="1">
                                <a:solidFill>
                                  <a:schemeClr val="tx1"/>
                                </a:solidFill>
                                <a:effectLst/>
                                <a:latin typeface="Cambria Math" panose="02040503050406030204" pitchFamily="18" charset="0"/>
                                <a:ea typeface="+mn-ea"/>
                                <a:cs typeface="+mn-cs"/>
                              </a:rPr>
                            </m:ctrlPr>
                          </m:sSupPr>
                          <m:e>
                            <m:r>
                              <a:rPr lang="de-DE" sz="1100" i="1">
                                <a:solidFill>
                                  <a:schemeClr val="tx1"/>
                                </a:solidFill>
                                <a:effectLst/>
                                <a:latin typeface="Cambria Math" panose="02040503050406030204" pitchFamily="18" charset="0"/>
                                <a:ea typeface="+mn-ea"/>
                                <a:cs typeface="+mn-cs"/>
                              </a:rPr>
                              <m:t>𝑖</m:t>
                            </m:r>
                          </m:e>
                          <m:sup>
                            <m:r>
                              <a:rPr lang="de-DE" sz="1100" i="1">
                                <a:solidFill>
                                  <a:schemeClr val="tx1"/>
                                </a:solidFill>
                                <a:effectLst/>
                                <a:latin typeface="Cambria Math" panose="02040503050406030204" pitchFamily="18" charset="0"/>
                                <a:ea typeface="+mn-ea"/>
                                <a:cs typeface="+mn-cs"/>
                              </a:rPr>
                              <m:t>2</m:t>
                            </m:r>
                          </m:sup>
                        </m:sSup>
                      </m:e>
                      <m:sub>
                        <m:r>
                          <a:rPr lang="de-DE" sz="1100" i="1">
                            <a:solidFill>
                              <a:schemeClr val="tx1"/>
                            </a:solidFill>
                            <a:effectLst/>
                            <a:latin typeface="Cambria Math" panose="02040503050406030204" pitchFamily="18" charset="0"/>
                            <a:ea typeface="+mn-ea"/>
                            <a:cs typeface="+mn-cs"/>
                          </a:rPr>
                          <m:t>𝐺𝑒𝑡𝑟</m:t>
                        </m:r>
                      </m:sub>
                    </m:sSub>
                    <m:r>
                      <a:rPr lang="de-DE" sz="1100" i="1">
                        <a:solidFill>
                          <a:schemeClr val="tx1"/>
                        </a:solidFill>
                        <a:effectLst/>
                        <a:latin typeface="Cambria Math" panose="02040503050406030204" pitchFamily="18" charset="0"/>
                        <a:ea typeface="+mn-ea"/>
                        <a:cs typeface="+mn-cs"/>
                      </a:rPr>
                      <m:t>∙</m:t>
                    </m:r>
                    <m:d>
                      <m:dPr>
                        <m:ctrlPr>
                          <a:rPr lang="de-DE" sz="1100" i="1">
                            <a:solidFill>
                              <a:schemeClr val="tx1"/>
                            </a:solidFill>
                            <a:effectLst/>
                            <a:latin typeface="Cambria Math" panose="02040503050406030204" pitchFamily="18" charset="0"/>
                            <a:ea typeface="+mn-ea"/>
                            <a:cs typeface="+mn-cs"/>
                          </a:rPr>
                        </m:ctrlPr>
                      </m:dPr>
                      <m:e>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𝐽</m:t>
                            </m:r>
                          </m:e>
                          <m:sub>
                            <m:r>
                              <a:rPr lang="de-DE" sz="1100" i="1">
                                <a:solidFill>
                                  <a:schemeClr val="tx1"/>
                                </a:solidFill>
                                <a:effectLst/>
                                <a:latin typeface="Cambria Math" panose="02040503050406030204" pitchFamily="18" charset="0"/>
                                <a:ea typeface="+mn-ea"/>
                                <a:cs typeface="+mn-cs"/>
                              </a:rPr>
                              <m:t>𝑀𝑜𝑡</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𝐽</m:t>
                            </m:r>
                          </m:e>
                          <m:sub>
                            <m:r>
                              <a:rPr lang="de-DE" sz="1100" i="1">
                                <a:solidFill>
                                  <a:schemeClr val="tx1"/>
                                </a:solidFill>
                                <a:effectLst/>
                                <a:latin typeface="Cambria Math" panose="02040503050406030204" pitchFamily="18" charset="0"/>
                                <a:ea typeface="+mn-ea"/>
                                <a:cs typeface="+mn-cs"/>
                              </a:rPr>
                              <m:t>𝐾</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𝐽</m:t>
                            </m:r>
                          </m:e>
                          <m:sub>
                            <m:r>
                              <a:rPr lang="de-DE" sz="1100" i="1">
                                <a:solidFill>
                                  <a:schemeClr val="tx1"/>
                                </a:solidFill>
                                <a:effectLst/>
                                <a:latin typeface="Cambria Math" panose="02040503050406030204" pitchFamily="18" charset="0"/>
                                <a:ea typeface="+mn-ea"/>
                                <a:cs typeface="+mn-cs"/>
                              </a:rPr>
                              <m:t>𝐺𝑒𝑡𝑟</m:t>
                            </m:r>
                          </m:sub>
                        </m:sSub>
                      </m:e>
                    </m:d>
                  </m:oMath>
                </m:oMathPara>
              </a14:m>
              <a:endParaRPr lang="de-DE" sz="1100">
                <a:solidFill>
                  <a:schemeClr val="tx1"/>
                </a:solidFill>
                <a:effectLst/>
                <a:latin typeface="+mn-lt"/>
                <a:ea typeface="+mn-ea"/>
                <a:cs typeface="+mn-cs"/>
              </a:endParaRPr>
            </a:p>
            <a:p>
              <a:endParaRPr lang="de-DE" sz="1100"/>
            </a:p>
          </xdr:txBody>
        </xdr:sp>
      </mc:Choice>
      <mc:Fallback xmlns="">
        <xdr:sp macro="" textlink="">
          <xdr:nvSpPr>
            <xdr:cNvPr id="12" name="Textfeld 11">
              <a:extLst>
                <a:ext uri="{FF2B5EF4-FFF2-40B4-BE49-F238E27FC236}">
                  <a16:creationId xmlns:a16="http://schemas.microsoft.com/office/drawing/2014/main" id="{FE827F4C-5868-830F-8A3B-2BD96F70CD05}"/>
                </a:ext>
              </a:extLst>
            </xdr:cNvPr>
            <xdr:cNvSpPr txBox="1"/>
          </xdr:nvSpPr>
          <xdr:spPr>
            <a:xfrm>
              <a:off x="1033669" y="4702865"/>
              <a:ext cx="3403752" cy="351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de-DE" sz="1100" i="0">
                  <a:solidFill>
                    <a:schemeClr val="tx1"/>
                  </a:solidFill>
                  <a:effectLst/>
                  <a:latin typeface="+mn-lt"/>
                  <a:ea typeface="+mn-ea"/>
                  <a:cs typeface="+mn-cs"/>
                </a:rPr>
                <a:t>𝐽_𝑟𝑒𝑑=𝐽_𝑅𝑎𝑑+〖𝑖^2〗_𝐴∙𝐽_𝐴𝑛𝑡𝑟 〖〖+ 𝑖〗^2〗_𝐴∙〖𝑖^2〗_𝐺𝑒𝑡𝑟∙(𝐽_𝑀𝑜𝑡+𝐽_𝐾+𝐽_𝐺𝑒𝑡𝑟 )</a:t>
              </a:r>
              <a:endParaRPr lang="de-DE" sz="1100">
                <a:solidFill>
                  <a:schemeClr val="tx1"/>
                </a:solidFill>
                <a:effectLst/>
                <a:latin typeface="+mn-lt"/>
                <a:ea typeface="+mn-ea"/>
                <a:cs typeface="+mn-cs"/>
              </a:endParaRPr>
            </a:p>
            <a:p>
              <a:endParaRPr lang="de-DE" sz="1100"/>
            </a:p>
          </xdr:txBody>
        </xdr:sp>
      </mc:Fallback>
    </mc:AlternateContent>
    <xdr:clientData/>
  </xdr:oneCellAnchor>
  <xdr:oneCellAnchor>
    <xdr:from>
      <xdr:col>1</xdr:col>
      <xdr:colOff>114300</xdr:colOff>
      <xdr:row>24</xdr:row>
      <xdr:rowOff>147430</xdr:rowOff>
    </xdr:from>
    <xdr:ext cx="852734" cy="387542"/>
    <mc:AlternateContent xmlns:mc="http://schemas.openxmlformats.org/markup-compatibility/2006" xmlns:a14="http://schemas.microsoft.com/office/drawing/2010/main">
      <mc:Choice Requires="a14">
        <xdr:sp macro="" textlink="">
          <xdr:nvSpPr>
            <xdr:cNvPr id="17" name="Textfeld 16">
              <a:extLst>
                <a:ext uri="{FF2B5EF4-FFF2-40B4-BE49-F238E27FC236}">
                  <a16:creationId xmlns:a16="http://schemas.microsoft.com/office/drawing/2014/main" id="{1CCE0C9A-E616-9FB3-31EF-DAA8ADCAFF0C}"/>
                </a:ext>
              </a:extLst>
            </xdr:cNvPr>
            <xdr:cNvSpPr txBox="1"/>
          </xdr:nvSpPr>
          <xdr:spPr>
            <a:xfrm>
              <a:off x="1149626" y="5912126"/>
              <a:ext cx="852734" cy="387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i="1">
                        <a:solidFill>
                          <a:schemeClr val="tx1"/>
                        </a:solidFill>
                        <a:effectLst/>
                        <a:latin typeface="Cambria Math" panose="02040503050406030204" pitchFamily="18" charset="0"/>
                        <a:ea typeface="+mn-ea"/>
                        <a:cs typeface="+mn-cs"/>
                      </a:rPr>
                      <m:t>∈ =</m:t>
                    </m:r>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𝐽</m:t>
                            </m:r>
                          </m:e>
                          <m:sub>
                            <m:r>
                              <a:rPr lang="de-DE" sz="1100" i="1">
                                <a:solidFill>
                                  <a:schemeClr val="tx1"/>
                                </a:solidFill>
                                <a:effectLst/>
                                <a:latin typeface="Cambria Math" panose="02040503050406030204" pitchFamily="18" charset="0"/>
                                <a:ea typeface="+mn-ea"/>
                                <a:cs typeface="+mn-cs"/>
                              </a:rPr>
                              <m:t>𝑟𝑒𝑑</m:t>
                            </m:r>
                          </m:sub>
                        </m:sSub>
                      </m:num>
                      <m:den>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𝑚</m:t>
                            </m:r>
                          </m:e>
                          <m:sub>
                            <m:r>
                              <a:rPr lang="de-DE" sz="1100" i="1">
                                <a:solidFill>
                                  <a:schemeClr val="tx1"/>
                                </a:solidFill>
                                <a:effectLst/>
                                <a:latin typeface="Cambria Math" panose="02040503050406030204" pitchFamily="18" charset="0"/>
                                <a:ea typeface="+mn-ea"/>
                                <a:cs typeface="+mn-cs"/>
                              </a:rPr>
                              <m:t>𝐹</m:t>
                            </m:r>
                          </m:sub>
                        </m:sSub>
                        <m:r>
                          <a:rPr lang="de-DE" sz="1100" i="1">
                            <a:solidFill>
                              <a:schemeClr val="tx1"/>
                            </a:solidFill>
                            <a:effectLst/>
                            <a:latin typeface="Cambria Math" panose="02040503050406030204" pitchFamily="18" charset="0"/>
                            <a:ea typeface="+mn-ea"/>
                            <a:cs typeface="+mn-cs"/>
                          </a:rPr>
                          <m:t>∗</m:t>
                        </m:r>
                        <m:sSubSup>
                          <m:sSubSupPr>
                            <m:ctrlPr>
                              <a:rPr lang="de-DE" sz="1100" i="1">
                                <a:solidFill>
                                  <a:schemeClr val="tx1"/>
                                </a:solidFill>
                                <a:effectLst/>
                                <a:latin typeface="Cambria Math" panose="02040503050406030204" pitchFamily="18" charset="0"/>
                                <a:ea typeface="+mn-ea"/>
                                <a:cs typeface="+mn-cs"/>
                              </a:rPr>
                            </m:ctrlPr>
                          </m:sSubSupPr>
                          <m:e>
                            <m:r>
                              <a:rPr lang="de-DE" sz="1100" i="1">
                                <a:solidFill>
                                  <a:schemeClr val="tx1"/>
                                </a:solidFill>
                                <a:effectLst/>
                                <a:latin typeface="Cambria Math" panose="02040503050406030204" pitchFamily="18" charset="0"/>
                                <a:ea typeface="+mn-ea"/>
                                <a:cs typeface="+mn-cs"/>
                              </a:rPr>
                              <m:t>𝑟</m:t>
                            </m:r>
                          </m:e>
                          <m:sub>
                            <m:r>
                              <a:rPr lang="de-DE" sz="1100" i="1">
                                <a:solidFill>
                                  <a:schemeClr val="tx1"/>
                                </a:solidFill>
                                <a:effectLst/>
                                <a:latin typeface="Cambria Math" panose="02040503050406030204" pitchFamily="18" charset="0"/>
                                <a:ea typeface="+mn-ea"/>
                                <a:cs typeface="+mn-cs"/>
                              </a:rPr>
                              <m:t>𝑑𝑦𝑛</m:t>
                            </m:r>
                          </m:sub>
                          <m:sup>
                            <m:r>
                              <a:rPr lang="de-DE" sz="1100" i="1">
                                <a:solidFill>
                                  <a:schemeClr val="tx1"/>
                                </a:solidFill>
                                <a:effectLst/>
                                <a:latin typeface="Cambria Math" panose="02040503050406030204" pitchFamily="18" charset="0"/>
                                <a:ea typeface="+mn-ea"/>
                                <a:cs typeface="+mn-cs"/>
                              </a:rPr>
                              <m:t>2</m:t>
                            </m:r>
                          </m:sup>
                        </m:sSubSup>
                      </m:den>
                    </m:f>
                  </m:oMath>
                </m:oMathPara>
              </a14:m>
              <a:endParaRPr lang="de-DE" sz="1100"/>
            </a:p>
          </xdr:txBody>
        </xdr:sp>
      </mc:Choice>
      <mc:Fallback xmlns="">
        <xdr:sp macro="" textlink="">
          <xdr:nvSpPr>
            <xdr:cNvPr id="17" name="Textfeld 16">
              <a:extLst>
                <a:ext uri="{FF2B5EF4-FFF2-40B4-BE49-F238E27FC236}">
                  <a16:creationId xmlns:a16="http://schemas.microsoft.com/office/drawing/2014/main" id="{1CCE0C9A-E616-9FB3-31EF-DAA8ADCAFF0C}"/>
                </a:ext>
              </a:extLst>
            </xdr:cNvPr>
            <xdr:cNvSpPr txBox="1"/>
          </xdr:nvSpPr>
          <xdr:spPr>
            <a:xfrm>
              <a:off x="1149626" y="5912126"/>
              <a:ext cx="852734" cy="387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i="0">
                  <a:solidFill>
                    <a:schemeClr val="tx1"/>
                  </a:solidFill>
                  <a:effectLst/>
                  <a:latin typeface="+mn-lt"/>
                  <a:ea typeface="+mn-ea"/>
                  <a:cs typeface="+mn-cs"/>
                </a:rPr>
                <a:t>∈ =𝐽_𝑟𝑒𝑑/(𝑚_𝐹∗𝑟_𝑑𝑦𝑛^2 )</a:t>
              </a:r>
              <a:endParaRPr lang="de-DE" sz="1100"/>
            </a:p>
          </xdr:txBody>
        </xdr:sp>
      </mc:Fallback>
    </mc:AlternateContent>
    <xdr:clientData/>
  </xdr:oneCellAnchor>
  <xdr:oneCellAnchor>
    <xdr:from>
      <xdr:col>1</xdr:col>
      <xdr:colOff>72886</xdr:colOff>
      <xdr:row>28</xdr:row>
      <xdr:rowOff>180562</xdr:rowOff>
    </xdr:from>
    <xdr:ext cx="803233" cy="225286"/>
    <mc:AlternateContent xmlns:mc="http://schemas.openxmlformats.org/markup-compatibility/2006" xmlns:a14="http://schemas.microsoft.com/office/drawing/2010/main">
      <mc:Choice Requires="a14">
        <xdr:sp macro="" textlink="">
          <xdr:nvSpPr>
            <xdr:cNvPr id="20" name="Textfeld 19">
              <a:extLst>
                <a:ext uri="{FF2B5EF4-FFF2-40B4-BE49-F238E27FC236}">
                  <a16:creationId xmlns:a16="http://schemas.microsoft.com/office/drawing/2014/main" id="{CA27F376-DA8C-98F7-E213-64C680C9D605}"/>
                </a:ext>
              </a:extLst>
            </xdr:cNvPr>
            <xdr:cNvSpPr txBox="1"/>
          </xdr:nvSpPr>
          <xdr:spPr>
            <a:xfrm>
              <a:off x="1108212" y="6707258"/>
              <a:ext cx="803233" cy="225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𝑒</m:t>
                        </m:r>
                      </m:e>
                      <m:sub>
                        <m:r>
                          <a:rPr lang="de-DE" sz="1100" i="1">
                            <a:solidFill>
                              <a:schemeClr val="tx1"/>
                            </a:solidFill>
                            <a:effectLst/>
                            <a:latin typeface="Cambria Math" panose="02040503050406030204" pitchFamily="18" charset="0"/>
                            <a:ea typeface="+mn-ea"/>
                            <a:cs typeface="+mn-cs"/>
                          </a:rPr>
                          <m:t>𝑖</m:t>
                        </m:r>
                      </m:sub>
                    </m:sSub>
                    <m:r>
                      <a:rPr lang="de-DE" sz="1100" i="1">
                        <a:solidFill>
                          <a:schemeClr val="tx1"/>
                        </a:solidFill>
                        <a:effectLst/>
                        <a:latin typeface="Cambria Math" panose="02040503050406030204" pitchFamily="18" charset="0"/>
                        <a:ea typeface="+mn-ea"/>
                        <a:cs typeface="+mn-cs"/>
                      </a:rPr>
                      <m:t>= ∈ + 1</m:t>
                    </m:r>
                  </m:oMath>
                </m:oMathPara>
              </a14:m>
              <a:endParaRPr lang="de-DE" sz="1100">
                <a:solidFill>
                  <a:schemeClr val="tx1"/>
                </a:solidFill>
                <a:effectLst/>
                <a:latin typeface="+mn-lt"/>
                <a:ea typeface="+mn-ea"/>
                <a:cs typeface="+mn-cs"/>
              </a:endParaRPr>
            </a:p>
            <a:p>
              <a:endParaRPr lang="de-DE" sz="1100"/>
            </a:p>
          </xdr:txBody>
        </xdr:sp>
      </mc:Choice>
      <mc:Fallback xmlns="">
        <xdr:sp macro="" textlink="">
          <xdr:nvSpPr>
            <xdr:cNvPr id="20" name="Textfeld 19">
              <a:extLst>
                <a:ext uri="{FF2B5EF4-FFF2-40B4-BE49-F238E27FC236}">
                  <a16:creationId xmlns:a16="http://schemas.microsoft.com/office/drawing/2014/main" id="{CA27F376-DA8C-98F7-E213-64C680C9D605}"/>
                </a:ext>
              </a:extLst>
            </xdr:cNvPr>
            <xdr:cNvSpPr txBox="1"/>
          </xdr:nvSpPr>
          <xdr:spPr>
            <a:xfrm>
              <a:off x="1108212" y="6707258"/>
              <a:ext cx="803233" cy="225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de-DE" sz="1100" i="0">
                  <a:solidFill>
                    <a:schemeClr val="tx1"/>
                  </a:solidFill>
                  <a:effectLst/>
                  <a:latin typeface="+mn-lt"/>
                  <a:ea typeface="+mn-ea"/>
                  <a:cs typeface="+mn-cs"/>
                </a:rPr>
                <a:t>𝑒_𝑖= ∈ + 1</a:t>
              </a:r>
              <a:endParaRPr lang="de-DE" sz="1100">
                <a:solidFill>
                  <a:schemeClr val="tx1"/>
                </a:solidFill>
                <a:effectLst/>
                <a:latin typeface="+mn-lt"/>
                <a:ea typeface="+mn-ea"/>
                <a:cs typeface="+mn-cs"/>
              </a:endParaRPr>
            </a:p>
            <a:p>
              <a:endParaRPr lang="de-DE" sz="1100"/>
            </a:p>
          </xdr:txBody>
        </xdr:sp>
      </mc:Fallback>
    </mc:AlternateContent>
    <xdr:clientData/>
  </xdr:oneCellAnchor>
  <xdr:oneCellAnchor>
    <xdr:from>
      <xdr:col>3</xdr:col>
      <xdr:colOff>255106</xdr:colOff>
      <xdr:row>36</xdr:row>
      <xdr:rowOff>4556</xdr:rowOff>
    </xdr:from>
    <xdr:ext cx="1252330" cy="240195"/>
    <mc:AlternateContent xmlns:mc="http://schemas.openxmlformats.org/markup-compatibility/2006">
      <mc:Choice xmlns:a14="http://schemas.microsoft.com/office/drawing/2010/main" Requires="a14">
        <xdr:sp macro="" textlink="">
          <xdr:nvSpPr>
            <xdr:cNvPr id="21" name="Textfeld 20">
              <a:extLst>
                <a:ext uri="{FF2B5EF4-FFF2-40B4-BE49-F238E27FC236}">
                  <a16:creationId xmlns:a16="http://schemas.microsoft.com/office/drawing/2014/main" id="{A404D1AF-5270-F58F-6766-6C84CC7A194E}"/>
                </a:ext>
              </a:extLst>
            </xdr:cNvPr>
            <xdr:cNvSpPr txBox="1"/>
          </xdr:nvSpPr>
          <xdr:spPr>
            <a:xfrm>
              <a:off x="3087758" y="7210426"/>
              <a:ext cx="1252330" cy="2401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𝑃</m:t>
                        </m:r>
                      </m:e>
                      <m:sub>
                        <m:r>
                          <a:rPr lang="de-DE" sz="1100" b="0" i="1">
                            <a:solidFill>
                              <a:schemeClr val="tx1"/>
                            </a:solidFill>
                            <a:effectLst/>
                            <a:latin typeface="Cambria Math" panose="02040503050406030204" pitchFamily="18" charset="0"/>
                            <a:ea typeface="+mn-ea"/>
                            <a:cs typeface="+mn-cs"/>
                          </a:rPr>
                          <m:t>𝐵</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𝑒</m:t>
                        </m:r>
                      </m:e>
                      <m:sub>
                        <m:r>
                          <a:rPr lang="de-DE" sz="1100" i="1">
                            <a:solidFill>
                              <a:schemeClr val="tx1"/>
                            </a:solidFill>
                            <a:effectLst/>
                            <a:latin typeface="Cambria Math" panose="02040503050406030204" pitchFamily="18" charset="0"/>
                            <a:ea typeface="+mn-ea"/>
                            <a:cs typeface="+mn-cs"/>
                          </a:rPr>
                          <m:t>𝑖</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𝑚</m:t>
                        </m:r>
                      </m:e>
                      <m:sub>
                        <m:r>
                          <a:rPr lang="de-DE" sz="1100" i="1">
                            <a:solidFill>
                              <a:schemeClr val="tx1"/>
                            </a:solidFill>
                            <a:effectLst/>
                            <a:latin typeface="Cambria Math" panose="02040503050406030204" pitchFamily="18" charset="0"/>
                            <a:ea typeface="+mn-ea"/>
                            <a:cs typeface="+mn-cs"/>
                          </a:rPr>
                          <m:t>𝐹</m:t>
                        </m:r>
                      </m:sub>
                    </m:sSub>
                    <m:r>
                      <a:rPr lang="de-DE"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𝑎</m:t>
                    </m:r>
                    <m:r>
                      <a:rPr lang="de-DE"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𝑣</m:t>
                    </m:r>
                  </m:oMath>
                </m:oMathPara>
              </a14:m>
              <a:endParaRPr lang="de-DE" sz="1100">
                <a:solidFill>
                  <a:schemeClr val="tx1"/>
                </a:solidFill>
                <a:effectLst/>
                <a:latin typeface="+mn-lt"/>
                <a:ea typeface="+mn-ea"/>
                <a:cs typeface="+mn-cs"/>
              </a:endParaRPr>
            </a:p>
            <a:p>
              <a:endParaRPr lang="de-DE" sz="1100"/>
            </a:p>
          </xdr:txBody>
        </xdr:sp>
      </mc:Choice>
      <mc:Fallback>
        <xdr:sp macro="" textlink="">
          <xdr:nvSpPr>
            <xdr:cNvPr id="21" name="Textfeld 20">
              <a:extLst>
                <a:ext uri="{FF2B5EF4-FFF2-40B4-BE49-F238E27FC236}">
                  <a16:creationId xmlns:a16="http://schemas.microsoft.com/office/drawing/2014/main" id="{A404D1AF-5270-F58F-6766-6C84CC7A194E}"/>
                </a:ext>
              </a:extLst>
            </xdr:cNvPr>
            <xdr:cNvSpPr txBox="1"/>
          </xdr:nvSpPr>
          <xdr:spPr>
            <a:xfrm>
              <a:off x="3087758" y="7210426"/>
              <a:ext cx="1252330" cy="2401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de-DE" sz="1100" b="0" i="0">
                  <a:solidFill>
                    <a:schemeClr val="tx1"/>
                  </a:solidFill>
                  <a:effectLst/>
                  <a:latin typeface="Cambria Math" panose="02040503050406030204" pitchFamily="18" charset="0"/>
                  <a:ea typeface="+mn-ea"/>
                  <a:cs typeface="+mn-cs"/>
                </a:rPr>
                <a:t>𝑃_𝐵</a:t>
              </a:r>
              <a:r>
                <a:rPr lang="de-DE" sz="1100" i="0">
                  <a:solidFill>
                    <a:schemeClr val="tx1"/>
                  </a:solidFill>
                  <a:effectLst/>
                  <a:latin typeface="Cambria Math" panose="02040503050406030204" pitchFamily="18" charset="0"/>
                  <a:ea typeface="+mn-ea"/>
                  <a:cs typeface="+mn-cs"/>
                </a:rPr>
                <a:t>=𝑒_𝑖∙𝑚_𝐹∙𝑎∙𝑣</a:t>
              </a:r>
              <a:endParaRPr lang="de-DE" sz="1100">
                <a:solidFill>
                  <a:schemeClr val="tx1"/>
                </a:solidFill>
                <a:effectLst/>
                <a:latin typeface="+mn-lt"/>
                <a:ea typeface="+mn-ea"/>
                <a:cs typeface="+mn-cs"/>
              </a:endParaRPr>
            </a:p>
            <a:p>
              <a:endParaRPr lang="de-DE" sz="1100"/>
            </a:p>
          </xdr:txBody>
        </xdr:sp>
      </mc:Fallback>
    </mc:AlternateContent>
    <xdr:clientData/>
  </xdr:oneCellAnchor>
  <xdr:oneCellAnchor>
    <xdr:from>
      <xdr:col>3</xdr:col>
      <xdr:colOff>241853</xdr:colOff>
      <xdr:row>37</xdr:row>
      <xdr:rowOff>102704</xdr:rowOff>
    </xdr:from>
    <xdr:ext cx="1042401" cy="472108"/>
    <mc:AlternateContent xmlns:mc="http://schemas.openxmlformats.org/markup-compatibility/2006">
      <mc:Choice xmlns:a14="http://schemas.microsoft.com/office/drawing/2010/main" Requires="a14">
        <xdr:sp macro="" textlink="">
          <xdr:nvSpPr>
            <xdr:cNvPr id="23" name="Textfeld 22">
              <a:extLst>
                <a:ext uri="{FF2B5EF4-FFF2-40B4-BE49-F238E27FC236}">
                  <a16:creationId xmlns:a16="http://schemas.microsoft.com/office/drawing/2014/main" id="{F14A3449-F680-40D2-91F5-A76D6612A173}"/>
                </a:ext>
              </a:extLst>
            </xdr:cNvPr>
            <xdr:cNvSpPr txBox="1"/>
          </xdr:nvSpPr>
          <xdr:spPr>
            <a:xfrm>
              <a:off x="3074505" y="7499074"/>
              <a:ext cx="1042401" cy="472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de-DE" sz="1100" b="0" i="1">
                        <a:solidFill>
                          <a:schemeClr val="tx1"/>
                        </a:solidFill>
                        <a:effectLst/>
                        <a:latin typeface="Cambria Math" panose="02040503050406030204" pitchFamily="18" charset="0"/>
                        <a:ea typeface="+mn-ea"/>
                        <a:cs typeface="+mn-cs"/>
                      </a:rPr>
                      <m:t>𝑎</m:t>
                    </m:r>
                    <m:r>
                      <a:rPr lang="de-DE" sz="1100" b="0" i="1">
                        <a:solidFill>
                          <a:schemeClr val="tx1"/>
                        </a:solidFill>
                        <a:effectLst/>
                        <a:latin typeface="Cambria Math" panose="02040503050406030204" pitchFamily="18" charset="0"/>
                        <a:ea typeface="+mn-ea"/>
                        <a:cs typeface="+mn-cs"/>
                      </a:rPr>
                      <m:t>=</m:t>
                    </m:r>
                    <m:f>
                      <m:fPr>
                        <m:ctrlPr>
                          <a:rPr lang="de-DE" sz="1100" i="1">
                            <a:solidFill>
                              <a:schemeClr val="tx1"/>
                            </a:solidFill>
                            <a:effectLst/>
                            <a:latin typeface="Cambria Math" panose="02040503050406030204" pitchFamily="18" charset="0"/>
                            <a:ea typeface="+mn-ea"/>
                            <a:cs typeface="+mn-cs"/>
                          </a:rPr>
                        </m:ctrlPr>
                      </m:fPr>
                      <m:num>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𝑃</m:t>
                            </m:r>
                          </m:e>
                          <m:sub>
                            <m:r>
                              <a:rPr lang="de-DE" sz="1100" b="0" i="1">
                                <a:solidFill>
                                  <a:schemeClr val="tx1"/>
                                </a:solidFill>
                                <a:effectLst/>
                                <a:latin typeface="Cambria Math" panose="02040503050406030204" pitchFamily="18" charset="0"/>
                                <a:ea typeface="+mn-ea"/>
                                <a:cs typeface="+mn-cs"/>
                              </a:rPr>
                              <m:t>𝐵</m:t>
                            </m:r>
                          </m:sub>
                        </m:sSub>
                      </m:num>
                      <m:den>
                        <m:r>
                          <a:rPr lang="de-DE" sz="1100" i="1">
                            <a:solidFill>
                              <a:schemeClr val="tx1"/>
                            </a:solidFill>
                            <a:effectLst/>
                            <a:latin typeface="Cambria Math" panose="02040503050406030204" pitchFamily="18" charset="0"/>
                            <a:ea typeface="+mn-ea"/>
                            <a:cs typeface="+mn-cs"/>
                          </a:rPr>
                          <m:t>𝑣</m:t>
                        </m:r>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𝑒</m:t>
                            </m:r>
                          </m:e>
                          <m:sub>
                            <m:r>
                              <a:rPr lang="de-DE" sz="1100" b="0" i="1">
                                <a:solidFill>
                                  <a:schemeClr val="tx1"/>
                                </a:solidFill>
                                <a:effectLst/>
                                <a:latin typeface="Cambria Math" panose="02040503050406030204" pitchFamily="18" charset="0"/>
                                <a:ea typeface="+mn-ea"/>
                                <a:cs typeface="+mn-cs"/>
                              </a:rPr>
                              <m:t>3</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𝑚</m:t>
                            </m:r>
                          </m:e>
                          <m:sub>
                            <m:r>
                              <a:rPr lang="de-DE" sz="1100" i="1">
                                <a:solidFill>
                                  <a:schemeClr val="tx1"/>
                                </a:solidFill>
                                <a:effectLst/>
                                <a:latin typeface="Cambria Math" panose="02040503050406030204" pitchFamily="18" charset="0"/>
                                <a:ea typeface="+mn-ea"/>
                                <a:cs typeface="+mn-cs"/>
                              </a:rPr>
                              <m:t>𝐹</m:t>
                            </m:r>
                          </m:sub>
                        </m:sSub>
                      </m:den>
                    </m:f>
                  </m:oMath>
                </m:oMathPara>
              </a14:m>
              <a:endParaRPr lang="de-DE" sz="1100">
                <a:solidFill>
                  <a:schemeClr val="tx1"/>
                </a:solidFill>
                <a:effectLst/>
                <a:latin typeface="+mn-lt"/>
                <a:ea typeface="+mn-ea"/>
                <a:cs typeface="+mn-cs"/>
              </a:endParaRPr>
            </a:p>
            <a:p>
              <a:endParaRPr lang="de-DE" sz="1100"/>
            </a:p>
          </xdr:txBody>
        </xdr:sp>
      </mc:Choice>
      <mc:Fallback>
        <xdr:sp macro="" textlink="">
          <xdr:nvSpPr>
            <xdr:cNvPr id="23" name="Textfeld 22">
              <a:extLst>
                <a:ext uri="{FF2B5EF4-FFF2-40B4-BE49-F238E27FC236}">
                  <a16:creationId xmlns:a16="http://schemas.microsoft.com/office/drawing/2014/main" id="{F14A3449-F680-40D2-91F5-A76D6612A173}"/>
                </a:ext>
              </a:extLst>
            </xdr:cNvPr>
            <xdr:cNvSpPr txBox="1"/>
          </xdr:nvSpPr>
          <xdr:spPr>
            <a:xfrm>
              <a:off x="3074505" y="7499074"/>
              <a:ext cx="1042401" cy="472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de-DE" sz="1100" b="0" i="0">
                  <a:solidFill>
                    <a:schemeClr val="tx1"/>
                  </a:solidFill>
                  <a:effectLst/>
                  <a:latin typeface="Cambria Math" panose="02040503050406030204" pitchFamily="18" charset="0"/>
                  <a:ea typeface="+mn-ea"/>
                  <a:cs typeface="+mn-cs"/>
                </a:rPr>
                <a:t>𝑎=𝑃_𝐵/(</a:t>
              </a:r>
              <a:r>
                <a:rPr lang="de-DE" sz="1100" i="0">
                  <a:solidFill>
                    <a:schemeClr val="tx1"/>
                  </a:solidFill>
                  <a:effectLst/>
                  <a:latin typeface="Cambria Math" panose="02040503050406030204" pitchFamily="18" charset="0"/>
                  <a:ea typeface="+mn-ea"/>
                  <a:cs typeface="+mn-cs"/>
                </a:rPr>
                <a:t>𝑣∙𝑒_</a:t>
              </a:r>
              <a:r>
                <a:rPr lang="de-DE" sz="1100" b="0" i="0">
                  <a:solidFill>
                    <a:schemeClr val="tx1"/>
                  </a:solidFill>
                  <a:effectLst/>
                  <a:latin typeface="Cambria Math" panose="02040503050406030204" pitchFamily="18" charset="0"/>
                  <a:ea typeface="+mn-ea"/>
                  <a:cs typeface="+mn-cs"/>
                </a:rPr>
                <a:t>3</a:t>
              </a:r>
              <a:r>
                <a:rPr lang="de-DE" sz="1100" i="0">
                  <a:solidFill>
                    <a:schemeClr val="tx1"/>
                  </a:solidFill>
                  <a:effectLst/>
                  <a:latin typeface="Cambria Math" panose="02040503050406030204" pitchFamily="18" charset="0"/>
                  <a:ea typeface="+mn-ea"/>
                  <a:cs typeface="+mn-cs"/>
                </a:rPr>
                <a:t>∙𝑚_𝐹 )</a:t>
              </a:r>
              <a:endParaRPr lang="de-DE" sz="1100">
                <a:solidFill>
                  <a:schemeClr val="tx1"/>
                </a:solidFill>
                <a:effectLst/>
                <a:latin typeface="+mn-lt"/>
                <a:ea typeface="+mn-ea"/>
                <a:cs typeface="+mn-cs"/>
              </a:endParaRPr>
            </a:p>
            <a:p>
              <a:endParaRPr lang="de-DE" sz="1100"/>
            </a:p>
          </xdr:txBody>
        </xdr:sp>
      </mc:Fallback>
    </mc:AlternateContent>
    <xdr:clientData/>
  </xdr:oneCellAnchor>
  <xdr:oneCellAnchor>
    <xdr:from>
      <xdr:col>3</xdr:col>
      <xdr:colOff>662608</xdr:colOff>
      <xdr:row>31</xdr:row>
      <xdr:rowOff>182218</xdr:rowOff>
    </xdr:from>
    <xdr:ext cx="915828" cy="172227"/>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C92AFA54-870F-4601-A872-C858F7D858A3}"/>
                </a:ext>
              </a:extLst>
            </xdr:cNvPr>
            <xdr:cNvSpPr txBox="1"/>
          </xdr:nvSpPr>
          <xdr:spPr>
            <a:xfrm>
              <a:off x="3495260" y="6195392"/>
              <a:ext cx="9158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𝐵</m:t>
                      </m:r>
                    </m:sub>
                  </m:sSub>
                  <m:r>
                    <a:rPr lang="de-DE" sz="1100" b="0" i="1">
                      <a:latin typeface="Cambria Math" panose="02040503050406030204" pitchFamily="18" charset="0"/>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𝑃</m:t>
                      </m:r>
                    </m:e>
                    <m:sub>
                      <m:r>
                        <a:rPr lang="de-DE" sz="1100" b="0" i="1">
                          <a:solidFill>
                            <a:schemeClr val="tx1"/>
                          </a:solidFill>
                          <a:effectLst/>
                          <a:latin typeface="Cambria Math" panose="02040503050406030204" pitchFamily="18" charset="0"/>
                          <a:ea typeface="+mn-ea"/>
                          <a:cs typeface="+mn-cs"/>
                        </a:rPr>
                        <m:t>ü</m:t>
                      </m:r>
                    </m:sub>
                  </m:sSub>
                  <m:r>
                    <a:rPr lang="de-DE" sz="1100" b="0" i="1">
                      <a:latin typeface="Cambria Math" panose="02040503050406030204" pitchFamily="18" charset="0"/>
                    </a:rPr>
                    <m:t>∗ </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oMath>
              </a14:m>
              <a:r>
                <a:rPr lang="de-DE" sz="1100"/>
                <a:t> </a:t>
              </a:r>
            </a:p>
          </xdr:txBody>
        </xdr:sp>
      </mc:Choice>
      <mc:Fallback xmlns="">
        <xdr:sp macro="" textlink="">
          <xdr:nvSpPr>
            <xdr:cNvPr id="2" name="Textfeld 1">
              <a:extLst>
                <a:ext uri="{FF2B5EF4-FFF2-40B4-BE49-F238E27FC236}">
                  <a16:creationId xmlns:a16="http://schemas.microsoft.com/office/drawing/2014/main" id="{C92AFA54-870F-4601-A872-C858F7D858A3}"/>
                </a:ext>
              </a:extLst>
            </xdr:cNvPr>
            <xdr:cNvSpPr txBox="1"/>
          </xdr:nvSpPr>
          <xdr:spPr>
            <a:xfrm>
              <a:off x="3495260" y="6195392"/>
              <a:ext cx="91582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𝑃_𝐵= </a:t>
              </a:r>
              <a:r>
                <a:rPr lang="de-DE" sz="1100" b="0" i="0">
                  <a:solidFill>
                    <a:schemeClr val="tx1"/>
                  </a:solidFill>
                  <a:effectLst/>
                  <a:latin typeface="Cambria Math" panose="02040503050406030204" pitchFamily="18" charset="0"/>
                  <a:ea typeface="+mn-ea"/>
                  <a:cs typeface="+mn-cs"/>
                </a:rPr>
                <a:t>𝑃_ü</a:t>
              </a:r>
              <a:r>
                <a:rPr lang="de-DE" sz="1100" b="0" i="0">
                  <a:latin typeface="Cambria Math" panose="02040503050406030204" pitchFamily="18" charset="0"/>
                </a:rPr>
                <a:t>∗ </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a:t>
              </a:r>
              <a:r>
                <a:rPr lang="de-DE" sz="1100"/>
                <a:t> </a:t>
              </a:r>
            </a:p>
          </xdr:txBody>
        </xdr:sp>
      </mc:Fallback>
    </mc:AlternateContent>
    <xdr:clientData/>
  </xdr:oneCellAnchor>
  <xdr:oneCellAnchor>
    <xdr:from>
      <xdr:col>4</xdr:col>
      <xdr:colOff>474593</xdr:colOff>
      <xdr:row>13</xdr:row>
      <xdr:rowOff>89452</xdr:rowOff>
    </xdr:from>
    <xdr:ext cx="1110817" cy="318036"/>
    <mc:AlternateContent xmlns:mc="http://schemas.openxmlformats.org/markup-compatibility/2006">
      <mc:Choice xmlns:a14="http://schemas.microsoft.com/office/drawing/2010/main" Requires="a14">
        <xdr:sp macro="" textlink="">
          <xdr:nvSpPr>
            <xdr:cNvPr id="3" name="Textfeld 2">
              <a:extLst>
                <a:ext uri="{FF2B5EF4-FFF2-40B4-BE49-F238E27FC236}">
                  <a16:creationId xmlns:a16="http://schemas.microsoft.com/office/drawing/2014/main" id="{E4337AF6-4F6F-5A65-B801-C9C3A11D04B6}"/>
                </a:ext>
              </a:extLst>
            </xdr:cNvPr>
            <xdr:cNvSpPr txBox="1"/>
          </xdr:nvSpPr>
          <xdr:spPr>
            <a:xfrm>
              <a:off x="4201767" y="2690191"/>
              <a:ext cx="1110817"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kern="1200">
                        <a:latin typeface="Cambria Math" panose="02040503050406030204" pitchFamily="18" charset="0"/>
                      </a:rPr>
                      <m:t>𝑃</m:t>
                    </m:r>
                    <m:r>
                      <a:rPr lang="de-DE" sz="1100" b="0" i="1" kern="1200">
                        <a:latin typeface="Cambria Math" panose="02040503050406030204" pitchFamily="18" charset="0"/>
                      </a:rPr>
                      <m:t>=</m:t>
                    </m:r>
                    <m:r>
                      <a:rPr lang="de-DE" sz="1100" b="0" i="1" kern="1200">
                        <a:latin typeface="Cambria Math" panose="02040503050406030204" pitchFamily="18" charset="0"/>
                      </a:rPr>
                      <m:t>𝑀</m:t>
                    </m:r>
                    <m:r>
                      <a:rPr lang="de-DE" sz="1100" b="0" i="1" kern="1200">
                        <a:latin typeface="Cambria Math" panose="02040503050406030204" pitchFamily="18" charset="0"/>
                      </a:rPr>
                      <m:t>∗</m:t>
                    </m:r>
                    <m:r>
                      <a:rPr lang="de-DE" sz="1100" b="0" i="1" kern="1200">
                        <a:latin typeface="Cambria Math" panose="02040503050406030204" pitchFamily="18" charset="0"/>
                      </a:rPr>
                      <m:t>𝑛</m:t>
                    </m:r>
                    <m:r>
                      <a:rPr lang="de-DE" sz="1100" b="0" i="1" kern="1200">
                        <a:latin typeface="Cambria Math" panose="02040503050406030204" pitchFamily="18" charset="0"/>
                      </a:rPr>
                      <m:t>∗</m:t>
                    </m:r>
                    <m:f>
                      <m:fPr>
                        <m:ctrlPr>
                          <a:rPr lang="de-DE" sz="1100" b="0" i="1" kern="1200">
                            <a:latin typeface="Cambria Math" panose="02040503050406030204" pitchFamily="18" charset="0"/>
                          </a:rPr>
                        </m:ctrlPr>
                      </m:fPr>
                      <m:num>
                        <m:r>
                          <a:rPr lang="de-DE" sz="1100" b="0" i="1" kern="1200">
                            <a:latin typeface="Cambria Math" panose="02040503050406030204" pitchFamily="18" charset="0"/>
                          </a:rPr>
                          <m:t>1</m:t>
                        </m:r>
                      </m:num>
                      <m:den>
                        <m:r>
                          <a:rPr lang="de-DE" sz="1100" b="0" i="1" kern="1200">
                            <a:latin typeface="Cambria Math" panose="02040503050406030204" pitchFamily="18" charset="0"/>
                          </a:rPr>
                          <m:t>9549</m:t>
                        </m:r>
                      </m:den>
                    </m:f>
                  </m:oMath>
                </m:oMathPara>
              </a14:m>
              <a:endParaRPr lang="de-DE" sz="1100" kern="1200"/>
            </a:p>
          </xdr:txBody>
        </xdr:sp>
      </mc:Choice>
      <mc:Fallback>
        <xdr:sp macro="" textlink="">
          <xdr:nvSpPr>
            <xdr:cNvPr id="3" name="Textfeld 2">
              <a:extLst>
                <a:ext uri="{FF2B5EF4-FFF2-40B4-BE49-F238E27FC236}">
                  <a16:creationId xmlns:a16="http://schemas.microsoft.com/office/drawing/2014/main" id="{E4337AF6-4F6F-5A65-B801-C9C3A11D04B6}"/>
                </a:ext>
              </a:extLst>
            </xdr:cNvPr>
            <xdr:cNvSpPr txBox="1"/>
          </xdr:nvSpPr>
          <xdr:spPr>
            <a:xfrm>
              <a:off x="4201767" y="2690191"/>
              <a:ext cx="1110817"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kern="1200">
                  <a:latin typeface="Cambria Math" panose="02040503050406030204" pitchFamily="18" charset="0"/>
                </a:rPr>
                <a:t>𝑃=𝑀∗𝑛∗1/9549</a:t>
              </a:r>
              <a:endParaRPr lang="de-DE" sz="1100" kern="12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4</xdr:col>
      <xdr:colOff>583041</xdr:colOff>
      <xdr:row>35</xdr:row>
      <xdr:rowOff>113566</xdr:rowOff>
    </xdr:from>
    <xdr:ext cx="1012265" cy="320344"/>
    <mc:AlternateContent xmlns:mc="http://schemas.openxmlformats.org/markup-compatibility/2006">
      <mc:Choice xmlns:a14="http://schemas.microsoft.com/office/drawing/2010/main" Requires="a14">
        <xdr:sp macro="" textlink="">
          <xdr:nvSpPr>
            <xdr:cNvPr id="22" name="Textfeld 21">
              <a:extLst>
                <a:ext uri="{FF2B5EF4-FFF2-40B4-BE49-F238E27FC236}">
                  <a16:creationId xmlns:a16="http://schemas.microsoft.com/office/drawing/2014/main" id="{00000000-0008-0000-0300-000016000000}"/>
                </a:ext>
              </a:extLst>
            </xdr:cNvPr>
            <xdr:cNvSpPr txBox="1"/>
          </xdr:nvSpPr>
          <xdr:spPr>
            <a:xfrm>
              <a:off x="4335891" y="7190641"/>
              <a:ext cx="1012265" cy="320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de-DE" sz="1100">
                        <a:solidFill>
                          <a:schemeClr val="tx1"/>
                        </a:solidFill>
                        <a:effectLst/>
                        <a:latin typeface="Cambria Math" panose="02040503050406030204" pitchFamily="18" charset="0"/>
                        <a:ea typeface="+mn-ea"/>
                        <a:cs typeface="+mn-cs"/>
                      </a:rPr>
                      <m:t>δ</m:t>
                    </m:r>
                    <m:r>
                      <a:rPr lang="de-DE" sz="1100">
                        <a:solidFill>
                          <a:schemeClr val="tx1"/>
                        </a:solidFill>
                        <a:effectLst/>
                        <a:latin typeface="Cambria Math" panose="02040503050406030204" pitchFamily="18" charset="0"/>
                        <a:ea typeface="+mn-ea"/>
                        <a:cs typeface="+mn-cs"/>
                      </a:rPr>
                      <m:t>=</m:t>
                    </m:r>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a:rPr lang="de-DE" sz="1100">
                                <a:solidFill>
                                  <a:schemeClr val="tx1"/>
                                </a:solidFill>
                                <a:effectLst/>
                                <a:latin typeface="Cambria Math" panose="02040503050406030204" pitchFamily="18" charset="0"/>
                                <a:ea typeface="+mn-ea"/>
                                <a:cs typeface="+mn-cs"/>
                              </a:rPr>
                              <m:t>0</m:t>
                            </m:r>
                          </m:sub>
                        </m:sSub>
                      </m:num>
                      <m:den>
                        <m:r>
                          <m:rPr>
                            <m:sty m:val="p"/>
                          </m:rPr>
                          <a:rPr lang="de-DE" sz="1100">
                            <a:solidFill>
                              <a:schemeClr val="tx1"/>
                            </a:solidFill>
                            <a:effectLst/>
                            <a:latin typeface="Cambria Math" panose="02040503050406030204" pitchFamily="18" charset="0"/>
                            <a:ea typeface="+mn-ea"/>
                            <a:cs typeface="+mn-cs"/>
                          </a:rPr>
                          <m:t>R</m:t>
                        </m:r>
                      </m:den>
                    </m:f>
                    <m:r>
                      <a:rPr lang="de-DE" sz="1100">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panose="02040503050406030204" pitchFamily="18" charset="0"/>
                        <a:ea typeface="+mn-ea"/>
                        <a:cs typeface="+mn-cs"/>
                      </a:rPr>
                      <m:t>𝐸𝐺</m:t>
                    </m:r>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a</m:t>
                        </m:r>
                      </m:e>
                      <m:sub>
                        <m:r>
                          <m:rPr>
                            <m:sty m:val="p"/>
                          </m:rPr>
                          <a:rPr lang="de-DE" sz="1100">
                            <a:solidFill>
                              <a:schemeClr val="tx1"/>
                            </a:solidFill>
                            <a:effectLst/>
                            <a:latin typeface="Cambria Math" panose="02040503050406030204" pitchFamily="18" charset="0"/>
                            <a:ea typeface="+mn-ea"/>
                            <a:cs typeface="+mn-cs"/>
                          </a:rPr>
                          <m:t>y</m:t>
                        </m:r>
                      </m:sub>
                    </m:sSub>
                  </m:oMath>
                </m:oMathPara>
              </a14:m>
              <a:endParaRPr lang="de-DE" sz="1100"/>
            </a:p>
          </xdr:txBody>
        </xdr:sp>
      </mc:Choice>
      <mc:Fallback>
        <xdr:sp macro="" textlink="">
          <xdr:nvSpPr>
            <xdr:cNvPr id="22" name="Textfeld 21">
              <a:extLst>
                <a:ext uri="{FF2B5EF4-FFF2-40B4-BE49-F238E27FC236}">
                  <a16:creationId xmlns:a16="http://schemas.microsoft.com/office/drawing/2014/main" id="{00000000-0008-0000-0300-000016000000}"/>
                </a:ext>
              </a:extLst>
            </xdr:cNvPr>
            <xdr:cNvSpPr txBox="1"/>
          </xdr:nvSpPr>
          <xdr:spPr>
            <a:xfrm>
              <a:off x="4335891" y="7190641"/>
              <a:ext cx="1012265" cy="320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δ=l_0/R+</a:t>
              </a:r>
              <a:r>
                <a:rPr lang="de-DE" sz="1100" b="0" i="0">
                  <a:solidFill>
                    <a:schemeClr val="tx1"/>
                  </a:solidFill>
                  <a:effectLst/>
                  <a:latin typeface="Cambria Math" panose="02040503050406030204" pitchFamily="18" charset="0"/>
                  <a:ea typeface="+mn-ea"/>
                  <a:cs typeface="+mn-cs"/>
                </a:rPr>
                <a:t>𝐸𝐺</a:t>
              </a:r>
              <a:r>
                <a:rPr lang="de-DE" sz="1100" i="0">
                  <a:solidFill>
                    <a:schemeClr val="tx1"/>
                  </a:solidFill>
                  <a:effectLst/>
                  <a:latin typeface="Cambria Math" panose="02040503050406030204" pitchFamily="18" charset="0"/>
                  <a:ea typeface="+mn-ea"/>
                  <a:cs typeface="+mn-cs"/>
                </a:rPr>
                <a:t>∗a_y</a:t>
              </a:r>
              <a:endParaRPr lang="de-DE" sz="1100"/>
            </a:p>
          </xdr:txBody>
        </xdr:sp>
      </mc:Fallback>
    </mc:AlternateContent>
    <xdr:clientData/>
  </xdr:oneCellAnchor>
  <xdr:oneCellAnchor>
    <xdr:from>
      <xdr:col>5</xdr:col>
      <xdr:colOff>36635</xdr:colOff>
      <xdr:row>30</xdr:row>
      <xdr:rowOff>87924</xdr:rowOff>
    </xdr:from>
    <xdr:ext cx="518155" cy="338619"/>
    <mc:AlternateContent xmlns:mc="http://schemas.openxmlformats.org/markup-compatibility/2006">
      <mc:Choice xmlns:a14="http://schemas.microsoft.com/office/drawing/2010/main" Requires="a14">
        <xdr:sp macro="" textlink="">
          <xdr:nvSpPr>
            <xdr:cNvPr id="11" name="Textfeld 10">
              <a:extLst>
                <a:ext uri="{FF2B5EF4-FFF2-40B4-BE49-F238E27FC236}">
                  <a16:creationId xmlns:a16="http://schemas.microsoft.com/office/drawing/2014/main" id="{BB7EC668-798A-71F5-1301-4838F621DF58}"/>
                </a:ext>
              </a:extLst>
            </xdr:cNvPr>
            <xdr:cNvSpPr txBox="1"/>
          </xdr:nvSpPr>
          <xdr:spPr>
            <a:xfrm>
              <a:off x="4751510" y="6136299"/>
              <a:ext cx="518155" cy="338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𝑎</m:t>
                        </m:r>
                      </m:e>
                      <m:sub>
                        <m:r>
                          <a:rPr lang="de-DE" sz="1100" b="0" i="1">
                            <a:latin typeface="Cambria Math" panose="02040503050406030204" pitchFamily="18" charset="0"/>
                          </a:rPr>
                          <m:t>𝑦</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Sup>
                          <m:sSubSupPr>
                            <m:ctrlPr>
                              <a:rPr lang="de-DE" sz="1100" b="0" i="1">
                                <a:latin typeface="Cambria Math" panose="02040503050406030204" pitchFamily="18" charset="0"/>
                              </a:rPr>
                            </m:ctrlPr>
                          </m:sSubSupPr>
                          <m:e>
                            <m:r>
                              <a:rPr lang="de-DE" sz="1100" b="0" i="1">
                                <a:latin typeface="Cambria Math" panose="02040503050406030204" pitchFamily="18" charset="0"/>
                              </a:rPr>
                              <m:t>𝑣</m:t>
                            </m:r>
                          </m:e>
                          <m:sub>
                            <m:r>
                              <a:rPr lang="de-DE" sz="1100" b="0" i="1">
                                <a:latin typeface="Cambria Math" panose="02040503050406030204" pitchFamily="18" charset="0"/>
                              </a:rPr>
                              <m:t>𝑠</m:t>
                            </m:r>
                          </m:sub>
                          <m:sup>
                            <m:r>
                              <a:rPr lang="de-DE" sz="1100" b="0" i="1">
                                <a:latin typeface="Cambria Math" panose="02040503050406030204" pitchFamily="18" charset="0"/>
                              </a:rPr>
                              <m:t>2</m:t>
                            </m:r>
                          </m:sup>
                        </m:sSubSup>
                      </m:num>
                      <m:den>
                        <m:r>
                          <a:rPr lang="de-DE" sz="1100" b="0" i="1">
                            <a:latin typeface="Cambria Math" panose="02040503050406030204" pitchFamily="18" charset="0"/>
                          </a:rPr>
                          <m:t>𝑅</m:t>
                        </m:r>
                      </m:den>
                    </m:f>
                  </m:oMath>
                </m:oMathPara>
              </a14:m>
              <a:endParaRPr lang="de-DE" sz="1100"/>
            </a:p>
          </xdr:txBody>
        </xdr:sp>
      </mc:Choice>
      <mc:Fallback>
        <xdr:sp macro="" textlink="">
          <xdr:nvSpPr>
            <xdr:cNvPr id="11" name="Textfeld 10">
              <a:extLst>
                <a:ext uri="{FF2B5EF4-FFF2-40B4-BE49-F238E27FC236}">
                  <a16:creationId xmlns:a16="http://schemas.microsoft.com/office/drawing/2014/main" id="{BB7EC668-798A-71F5-1301-4838F621DF58}"/>
                </a:ext>
              </a:extLst>
            </xdr:cNvPr>
            <xdr:cNvSpPr txBox="1"/>
          </xdr:nvSpPr>
          <xdr:spPr>
            <a:xfrm>
              <a:off x="4751510" y="6136299"/>
              <a:ext cx="518155" cy="338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𝑎_𝑦=(𝑣_𝑠^2)/𝑅</a:t>
              </a:r>
              <a:endParaRPr lang="de-DE" sz="1100"/>
            </a:p>
          </xdr:txBody>
        </xdr:sp>
      </mc:Fallback>
    </mc:AlternateContent>
    <xdr:clientData/>
  </xdr:oneCellAnchor>
  <xdr:oneCellAnchor>
    <xdr:from>
      <xdr:col>1</xdr:col>
      <xdr:colOff>675268</xdr:colOff>
      <xdr:row>24</xdr:row>
      <xdr:rowOff>66674</xdr:rowOff>
    </xdr:from>
    <xdr:ext cx="1405578" cy="380361"/>
    <mc:AlternateContent xmlns:mc="http://schemas.openxmlformats.org/markup-compatibility/2006" xmlns:a14="http://schemas.microsoft.com/office/drawing/2010/main">
      <mc:Choice Requires="a14">
        <xdr:sp macro="" textlink="">
          <xdr:nvSpPr>
            <xdr:cNvPr id="12" name="Textfeld 11">
              <a:extLst>
                <a:ext uri="{FF2B5EF4-FFF2-40B4-BE49-F238E27FC236}">
                  <a16:creationId xmlns:a16="http://schemas.microsoft.com/office/drawing/2014/main" id="{3BA5FEED-0A1F-2C87-5BC9-5EB3095C6B1C}"/>
                </a:ext>
              </a:extLst>
            </xdr:cNvPr>
            <xdr:cNvSpPr txBox="1"/>
          </xdr:nvSpPr>
          <xdr:spPr>
            <a:xfrm>
              <a:off x="1495883" y="4961059"/>
              <a:ext cx="140557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𝐸𝐺</m:t>
                    </m:r>
                    <m:r>
                      <a:rPr lang="de-DE" sz="1100" b="0" i="1">
                        <a:latin typeface="Cambria Math" panose="02040503050406030204" pitchFamily="18" charset="0"/>
                      </a:rPr>
                      <m:t>=</m:t>
                    </m:r>
                    <m:f>
                      <m:fPr>
                        <m:ctrlPr>
                          <a:rPr lang="de-DE" sz="1100" i="1">
                            <a:solidFill>
                              <a:schemeClr val="tx1"/>
                            </a:solidFill>
                            <a:effectLst/>
                            <a:latin typeface="Cambria Math" panose="02040503050406030204" pitchFamily="18" charset="0"/>
                            <a:ea typeface="+mn-ea"/>
                            <a:cs typeface="+mn-cs"/>
                          </a:rPr>
                        </m:ctrlPr>
                      </m:fPr>
                      <m:num>
                        <m:r>
                          <m:rPr>
                            <m:sty m:val="p"/>
                          </m:rPr>
                          <a:rPr lang="de-DE" sz="1100">
                            <a:solidFill>
                              <a:schemeClr val="tx1"/>
                            </a:solidFill>
                            <a:effectLst/>
                            <a:latin typeface="Cambria Math" panose="02040503050406030204" pitchFamily="18" charset="0"/>
                            <a:ea typeface="+mn-ea"/>
                            <a:cs typeface="+mn-cs"/>
                          </a:rPr>
                          <m:t>m</m:t>
                        </m:r>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a:rPr lang="de-DE" sz="1100">
                                <a:solidFill>
                                  <a:schemeClr val="tx1"/>
                                </a:solidFill>
                                <a:effectLst/>
                                <a:latin typeface="Cambria Math" panose="02040503050406030204" pitchFamily="18" charset="0"/>
                                <a:ea typeface="+mn-ea"/>
                                <a:cs typeface="+mn-cs"/>
                              </a:rPr>
                              <m:t>0</m:t>
                            </m:r>
                          </m:sub>
                        </m:sSub>
                      </m:den>
                    </m:f>
                    <m:r>
                      <a:rPr lang="de-DE" sz="1100" i="1">
                        <a:solidFill>
                          <a:schemeClr val="tx1"/>
                        </a:solidFill>
                        <a:effectLst/>
                        <a:latin typeface="Cambria Math" panose="02040503050406030204" pitchFamily="18" charset="0"/>
                        <a:ea typeface="+mn-ea"/>
                        <a:cs typeface="+mn-cs"/>
                      </a:rPr>
                      <m:t>∗</m:t>
                    </m:r>
                    <m:d>
                      <m:dPr>
                        <m:ctrlPr>
                          <a:rPr lang="de-DE" sz="1100" i="1">
                            <a:solidFill>
                              <a:schemeClr val="tx1"/>
                            </a:solidFill>
                            <a:effectLst/>
                            <a:latin typeface="Cambria Math" panose="02040503050406030204" pitchFamily="18" charset="0"/>
                            <a:ea typeface="+mn-ea"/>
                            <a:cs typeface="+mn-cs"/>
                          </a:rPr>
                        </m:ctrlPr>
                      </m:dPr>
                      <m:e>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h</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αv</m:t>
                                </m:r>
                              </m:sub>
                            </m:sSub>
                          </m:den>
                        </m:f>
                        <m:r>
                          <a:rPr lang="de-DE" sz="1100" i="1">
                            <a:solidFill>
                              <a:schemeClr val="tx1"/>
                            </a:solidFill>
                            <a:effectLst/>
                            <a:latin typeface="Cambria Math" panose="02040503050406030204" pitchFamily="18" charset="0"/>
                            <a:ea typeface="+mn-ea"/>
                            <a:cs typeface="+mn-cs"/>
                          </a:rPr>
                          <m:t>−</m:t>
                        </m:r>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v</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αh</m:t>
                                </m:r>
                              </m:sub>
                            </m:sSub>
                          </m:den>
                        </m:f>
                      </m:e>
                    </m:d>
                  </m:oMath>
                </m:oMathPara>
              </a14:m>
              <a:endParaRPr lang="de-DE" sz="1100"/>
            </a:p>
          </xdr:txBody>
        </xdr:sp>
      </mc:Choice>
      <mc:Fallback xmlns="">
        <xdr:sp macro="" textlink="">
          <xdr:nvSpPr>
            <xdr:cNvPr id="12" name="Textfeld 11">
              <a:extLst>
                <a:ext uri="{FF2B5EF4-FFF2-40B4-BE49-F238E27FC236}">
                  <a16:creationId xmlns:a16="http://schemas.microsoft.com/office/drawing/2014/main" id="{3BA5FEED-0A1F-2C87-5BC9-5EB3095C6B1C}"/>
                </a:ext>
              </a:extLst>
            </xdr:cNvPr>
            <xdr:cNvSpPr txBox="1"/>
          </xdr:nvSpPr>
          <xdr:spPr>
            <a:xfrm>
              <a:off x="1495883" y="4961059"/>
              <a:ext cx="140557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𝐸𝐺=</a:t>
              </a:r>
              <a:r>
                <a:rPr lang="de-DE" sz="1100" i="0">
                  <a:solidFill>
                    <a:schemeClr val="tx1"/>
                  </a:solidFill>
                  <a:effectLst/>
                  <a:latin typeface="Cambria Math" panose="02040503050406030204" pitchFamily="18" charset="0"/>
                  <a:ea typeface="+mn-ea"/>
                  <a:cs typeface="+mn-cs"/>
                </a:rPr>
                <a:t>m/l_0 ∗(l_h/C_αv −l_v/C_αh )</a:t>
              </a:r>
              <a:endParaRPr lang="de-DE" sz="1100"/>
            </a:p>
          </xdr:txBody>
        </xdr:sp>
      </mc:Fallback>
    </mc:AlternateContent>
    <xdr:clientData/>
  </xdr:oneCellAnchor>
  <xdr:oneCellAnchor>
    <xdr:from>
      <xdr:col>1</xdr:col>
      <xdr:colOff>275492</xdr:colOff>
      <xdr:row>15</xdr:row>
      <xdr:rowOff>150934</xdr:rowOff>
    </xdr:from>
    <xdr:ext cx="1216102" cy="207173"/>
    <mc:AlternateContent xmlns:mc="http://schemas.openxmlformats.org/markup-compatibility/2006" xmlns:a14="http://schemas.microsoft.com/office/drawing/2010/main">
      <mc:Choice Requires="a14">
        <xdr:sp macro="" textlink="">
          <xdr:nvSpPr>
            <xdr:cNvPr id="18" name="Textfeld 17">
              <a:extLst>
                <a:ext uri="{FF2B5EF4-FFF2-40B4-BE49-F238E27FC236}">
                  <a16:creationId xmlns:a16="http://schemas.microsoft.com/office/drawing/2014/main" id="{3BDADE86-8D65-BBA5-7A55-C4DB4922B5D7}"/>
                </a:ext>
              </a:extLst>
            </xdr:cNvPr>
            <xdr:cNvSpPr txBox="1"/>
          </xdr:nvSpPr>
          <xdr:spPr>
            <a:xfrm>
              <a:off x="1096107" y="4422530"/>
              <a:ext cx="1216102" cy="2071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𝑔𝑟𝑛𝑒𝑧</m:t>
                        </m:r>
                      </m:sub>
                    </m:sSub>
                    <m:r>
                      <a:rPr lang="de-DE" sz="1100" b="0" i="1">
                        <a:latin typeface="Cambria Math" panose="02040503050406030204" pitchFamily="18" charset="0"/>
                      </a:rPr>
                      <m:t>=</m:t>
                    </m:r>
                    <m:rad>
                      <m:radPr>
                        <m:degHide m:val="on"/>
                        <m:ctrlPr>
                          <a:rPr lang="de-DE" sz="1100" b="0" i="1">
                            <a:latin typeface="Cambria Math" panose="02040503050406030204" pitchFamily="18" charset="0"/>
                          </a:rPr>
                        </m:ctrlPr>
                      </m:radPr>
                      <m:deg/>
                      <m:e>
                        <m:r>
                          <a:rPr lang="de-DE" sz="1100" b="0" i="1">
                            <a:latin typeface="Cambria Math" panose="02040503050406030204" pitchFamily="18" charset="0"/>
                          </a:rPr>
                          <m:t>𝑅</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r>
                          <a:rPr lang="de-DE" sz="1100" b="0" i="1">
                            <a:latin typeface="Cambria Math" panose="02040503050406030204" pitchFamily="18" charset="0"/>
                            <a:ea typeface="Cambria Math" panose="02040503050406030204" pitchFamily="18" charset="0"/>
                          </a:rPr>
                          <m:t>𝜇</m:t>
                        </m:r>
                      </m:e>
                    </m:rad>
                  </m:oMath>
                </m:oMathPara>
              </a14:m>
              <a:endParaRPr lang="de-DE" sz="1100"/>
            </a:p>
          </xdr:txBody>
        </xdr:sp>
      </mc:Choice>
      <mc:Fallback xmlns="">
        <xdr:sp macro="" textlink="">
          <xdr:nvSpPr>
            <xdr:cNvPr id="18" name="Textfeld 17">
              <a:extLst>
                <a:ext uri="{FF2B5EF4-FFF2-40B4-BE49-F238E27FC236}">
                  <a16:creationId xmlns:a16="http://schemas.microsoft.com/office/drawing/2014/main" id="{3BDADE86-8D65-BBA5-7A55-C4DB4922B5D7}"/>
                </a:ext>
              </a:extLst>
            </xdr:cNvPr>
            <xdr:cNvSpPr txBox="1"/>
          </xdr:nvSpPr>
          <xdr:spPr>
            <a:xfrm>
              <a:off x="1096107" y="4422530"/>
              <a:ext cx="1216102" cy="2071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𝑣_𝑔𝑟𝑛𝑒𝑧=√(𝑅∗𝑔∗</a:t>
              </a:r>
              <a:r>
                <a:rPr lang="de-DE" sz="1100" b="0" i="0">
                  <a:latin typeface="Cambria Math" panose="02040503050406030204" pitchFamily="18" charset="0"/>
                  <a:ea typeface="Cambria Math" panose="02040503050406030204" pitchFamily="18" charset="0"/>
                </a:rPr>
                <a:t>𝜇)</a:t>
              </a:r>
              <a:endParaRPr lang="de-DE" sz="1100"/>
            </a:p>
          </xdr:txBody>
        </xdr:sp>
      </mc:Fallback>
    </mc:AlternateContent>
    <xdr:clientData/>
  </xdr:oneCellAnchor>
  <xdr:oneCellAnchor>
    <xdr:from>
      <xdr:col>0</xdr:col>
      <xdr:colOff>715107</xdr:colOff>
      <xdr:row>17</xdr:row>
      <xdr:rowOff>11722</xdr:rowOff>
    </xdr:from>
    <xdr:ext cx="1900604" cy="178510"/>
    <mc:AlternateContent xmlns:mc="http://schemas.openxmlformats.org/markup-compatibility/2006" xmlns:a14="http://schemas.microsoft.com/office/drawing/2010/main">
      <mc:Choice Requires="a14">
        <xdr:sp macro="" textlink="">
          <xdr:nvSpPr>
            <xdr:cNvPr id="23" name="Textfeld 22">
              <a:extLst>
                <a:ext uri="{FF2B5EF4-FFF2-40B4-BE49-F238E27FC236}">
                  <a16:creationId xmlns:a16="http://schemas.microsoft.com/office/drawing/2014/main" id="{2CB31A8B-AB8C-365C-AD9B-197BEAD47B37}"/>
                </a:ext>
              </a:extLst>
            </xdr:cNvPr>
            <xdr:cNvSpPr txBox="1"/>
          </xdr:nvSpPr>
          <xdr:spPr>
            <a:xfrm>
              <a:off x="715107" y="4664318"/>
              <a:ext cx="1900604" cy="178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de-DE" sz="1100" i="1">
                            <a:latin typeface="Cambria Math" panose="02040503050406030204" pitchFamily="18" charset="0"/>
                          </a:rPr>
                        </m:ctrlPr>
                      </m:sSubSupPr>
                      <m:e>
                        <m:r>
                          <a:rPr lang="de-DE" sz="1100" b="0" i="1">
                            <a:latin typeface="Cambria Math" panose="02040503050406030204" pitchFamily="18" charset="0"/>
                          </a:rPr>
                          <m:t>𝑣</m:t>
                        </m:r>
                      </m:e>
                      <m:sub>
                        <m:r>
                          <a:rPr lang="de-DE" sz="1100" b="0" i="1">
                            <a:latin typeface="Cambria Math" panose="02040503050406030204" pitchFamily="18" charset="0"/>
                          </a:rPr>
                          <m:t>𝐺𝑟𝑒𝑛𝑧</m:t>
                        </m:r>
                      </m:sub>
                      <m:sup>
                        <m:r>
                          <a:rPr lang="de-DE" sz="1100" b="0" i="1">
                            <a:latin typeface="Cambria Math" panose="02040503050406030204" pitchFamily="18" charset="0"/>
                          </a:rPr>
                          <m:t>2</m:t>
                        </m:r>
                      </m:sup>
                    </m:sSubSup>
                    <m:r>
                      <a:rPr lang="de-DE" sz="1100" b="0" i="1">
                        <a:latin typeface="Cambria Math" panose="02040503050406030204" pitchFamily="18" charset="0"/>
                      </a:rPr>
                      <m:t>=</m:t>
                    </m:r>
                    <m:r>
                      <a:rPr lang="de-DE" sz="1100" b="0" i="1">
                        <a:latin typeface="Cambria Math" panose="02040503050406030204" pitchFamily="18" charset="0"/>
                      </a:rPr>
                      <m:t>𝑅</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r>
                      <a:rPr lang="de-DE" sz="1100" b="0" i="1">
                        <a:latin typeface="Cambria Math" panose="02040503050406030204" pitchFamily="18" charset="0"/>
                        <a:ea typeface="Cambria Math" panose="02040503050406030204" pitchFamily="18" charset="0"/>
                      </a:rPr>
                      <m:t>𝜇</m:t>
                    </m:r>
                  </m:oMath>
                </m:oMathPara>
              </a14:m>
              <a:endParaRPr lang="de-DE" sz="1100"/>
            </a:p>
          </xdr:txBody>
        </xdr:sp>
      </mc:Choice>
      <mc:Fallback xmlns="">
        <xdr:sp macro="" textlink="">
          <xdr:nvSpPr>
            <xdr:cNvPr id="23" name="Textfeld 22">
              <a:extLst>
                <a:ext uri="{FF2B5EF4-FFF2-40B4-BE49-F238E27FC236}">
                  <a16:creationId xmlns:a16="http://schemas.microsoft.com/office/drawing/2014/main" id="{2CB31A8B-AB8C-365C-AD9B-197BEAD47B37}"/>
                </a:ext>
              </a:extLst>
            </xdr:cNvPr>
            <xdr:cNvSpPr txBox="1"/>
          </xdr:nvSpPr>
          <xdr:spPr>
            <a:xfrm>
              <a:off x="715107" y="4664318"/>
              <a:ext cx="1900604" cy="178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de-DE" sz="1100" b="0" i="0">
                  <a:latin typeface="Cambria Math" panose="02040503050406030204" pitchFamily="18" charset="0"/>
                </a:rPr>
                <a:t>𝑣_𝐺𝑟𝑒𝑛𝑧^2=𝑅∗𝑔∗</a:t>
              </a:r>
              <a:r>
                <a:rPr lang="de-DE" sz="1100" b="0" i="0">
                  <a:latin typeface="Cambria Math" panose="02040503050406030204" pitchFamily="18" charset="0"/>
                  <a:ea typeface="Cambria Math" panose="02040503050406030204" pitchFamily="18" charset="0"/>
                </a:rPr>
                <a:t>𝜇</a:t>
              </a:r>
              <a:endParaRPr lang="de-DE" sz="1100"/>
            </a:p>
          </xdr:txBody>
        </xdr:sp>
      </mc:Fallback>
    </mc:AlternateContent>
    <xdr:clientData/>
  </xdr:oneCellAnchor>
  <xdr:oneCellAnchor>
    <xdr:from>
      <xdr:col>0</xdr:col>
      <xdr:colOff>332641</xdr:colOff>
      <xdr:row>18</xdr:row>
      <xdr:rowOff>17584</xdr:rowOff>
    </xdr:from>
    <xdr:ext cx="1900604" cy="378502"/>
    <mc:AlternateContent xmlns:mc="http://schemas.openxmlformats.org/markup-compatibility/2006" xmlns:a14="http://schemas.microsoft.com/office/drawing/2010/main">
      <mc:Choice Requires="a14">
        <xdr:sp macro="" textlink="">
          <xdr:nvSpPr>
            <xdr:cNvPr id="24" name="Textfeld 23">
              <a:extLst>
                <a:ext uri="{FF2B5EF4-FFF2-40B4-BE49-F238E27FC236}">
                  <a16:creationId xmlns:a16="http://schemas.microsoft.com/office/drawing/2014/main" id="{21E7532E-D509-4FD0-832B-98D2842777CF}"/>
                </a:ext>
              </a:extLst>
            </xdr:cNvPr>
            <xdr:cNvSpPr txBox="1"/>
          </xdr:nvSpPr>
          <xdr:spPr>
            <a:xfrm>
              <a:off x="332641" y="5007219"/>
              <a:ext cx="1900604" cy="3785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𝑅</m:t>
                    </m:r>
                    <m:r>
                      <a:rPr lang="de-DE" sz="1100" b="0" i="1">
                        <a:latin typeface="Cambria Math" panose="02040503050406030204" pitchFamily="18" charset="0"/>
                      </a:rPr>
                      <m:t>=</m:t>
                    </m:r>
                    <m:f>
                      <m:fPr>
                        <m:ctrlPr>
                          <a:rPr lang="de-DE" sz="1100" i="1">
                            <a:latin typeface="Cambria Math" panose="02040503050406030204" pitchFamily="18" charset="0"/>
                          </a:rPr>
                        </m:ctrlPr>
                      </m:fPr>
                      <m:num>
                        <m:sSubSup>
                          <m:sSubSupPr>
                            <m:ctrlPr>
                              <a:rPr lang="de-DE" sz="1100" i="1">
                                <a:solidFill>
                                  <a:schemeClr val="tx1"/>
                                </a:solidFill>
                                <a:effectLst/>
                                <a:latin typeface="Cambria Math" panose="02040503050406030204" pitchFamily="18" charset="0"/>
                                <a:ea typeface="+mn-ea"/>
                                <a:cs typeface="+mn-cs"/>
                              </a:rPr>
                            </m:ctrlPr>
                          </m:sSubSup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𝐺𝑟𝑒𝑛𝑧</m:t>
                            </m:r>
                          </m:sub>
                          <m:sup>
                            <m:r>
                              <a:rPr lang="de-DE" sz="1100" b="0" i="1">
                                <a:solidFill>
                                  <a:schemeClr val="tx1"/>
                                </a:solidFill>
                                <a:effectLst/>
                                <a:latin typeface="Cambria Math" panose="02040503050406030204" pitchFamily="18" charset="0"/>
                                <a:ea typeface="+mn-ea"/>
                                <a:cs typeface="+mn-cs"/>
                              </a:rPr>
                              <m:t>2</m:t>
                            </m:r>
                          </m:sup>
                        </m:sSubSup>
                      </m:num>
                      <m:den>
                        <m:r>
                          <a:rPr lang="de-DE" sz="1100" b="0" i="1">
                            <a:latin typeface="Cambria Math" panose="02040503050406030204" pitchFamily="18" charset="0"/>
                          </a:rPr>
                          <m:t>𝑔</m:t>
                        </m:r>
                        <m:r>
                          <a:rPr lang="de-DE" sz="1100" b="0" i="1">
                            <a:latin typeface="Cambria Math" panose="02040503050406030204" pitchFamily="18" charset="0"/>
                          </a:rPr>
                          <m:t>∗</m:t>
                        </m:r>
                        <m:r>
                          <a:rPr lang="de-DE" sz="1100" b="0" i="1">
                            <a:latin typeface="Cambria Math" panose="02040503050406030204" pitchFamily="18" charset="0"/>
                            <a:ea typeface="Cambria Math" panose="02040503050406030204" pitchFamily="18" charset="0"/>
                          </a:rPr>
                          <m:t>𝜇</m:t>
                        </m:r>
                      </m:den>
                    </m:f>
                    <m:r>
                      <a:rPr lang="de-DE" sz="1100" b="0" i="1">
                        <a:latin typeface="Cambria Math" panose="02040503050406030204" pitchFamily="18" charset="0"/>
                      </a:rPr>
                      <m:t> </m:t>
                    </m:r>
                  </m:oMath>
                </m:oMathPara>
              </a14:m>
              <a:endParaRPr lang="de-DE" sz="1100"/>
            </a:p>
          </xdr:txBody>
        </xdr:sp>
      </mc:Choice>
      <mc:Fallback xmlns="">
        <xdr:sp macro="" textlink="">
          <xdr:nvSpPr>
            <xdr:cNvPr id="24" name="Textfeld 23">
              <a:extLst>
                <a:ext uri="{FF2B5EF4-FFF2-40B4-BE49-F238E27FC236}">
                  <a16:creationId xmlns:a16="http://schemas.microsoft.com/office/drawing/2014/main" id="{21E7532E-D509-4FD0-832B-98D2842777CF}"/>
                </a:ext>
              </a:extLst>
            </xdr:cNvPr>
            <xdr:cNvSpPr txBox="1"/>
          </xdr:nvSpPr>
          <xdr:spPr>
            <a:xfrm>
              <a:off x="332641" y="5007219"/>
              <a:ext cx="1900604" cy="3785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de-DE" sz="1100" b="0" i="0">
                  <a:latin typeface="Cambria Math" panose="02040503050406030204" pitchFamily="18" charset="0"/>
                </a:rPr>
                <a:t>𝑅=</a:t>
              </a:r>
              <a:r>
                <a:rPr lang="de-DE" sz="1100" i="0">
                  <a:latin typeface="Cambria Math" panose="02040503050406030204" pitchFamily="18" charset="0"/>
                </a:rPr>
                <a:t>(</a:t>
              </a:r>
              <a:r>
                <a:rPr lang="de-DE" sz="1100" b="0" i="0">
                  <a:solidFill>
                    <a:schemeClr val="tx1"/>
                  </a:solidFill>
                  <a:effectLst/>
                  <a:latin typeface="+mn-lt"/>
                  <a:ea typeface="+mn-ea"/>
                  <a:cs typeface="+mn-cs"/>
                </a:rPr>
                <a:t>𝑣_𝐺𝑟𝑒𝑛𝑧^2</a:t>
              </a:r>
              <a:r>
                <a:rPr lang="de-DE" sz="1100" b="0" i="0">
                  <a:solidFill>
                    <a:schemeClr val="tx1"/>
                  </a:solidFill>
                  <a:effectLst/>
                  <a:latin typeface="Cambria Math" panose="02040503050406030204" pitchFamily="18" charset="0"/>
                  <a:ea typeface="+mn-ea"/>
                  <a:cs typeface="+mn-cs"/>
                </a:rPr>
                <a:t>)/(</a:t>
              </a:r>
              <a:r>
                <a:rPr lang="de-DE" sz="1100" b="0" i="0">
                  <a:latin typeface="Cambria Math" panose="02040503050406030204" pitchFamily="18" charset="0"/>
                </a:rPr>
                <a:t>𝑔∗</a:t>
              </a:r>
              <a:r>
                <a:rPr lang="de-DE" sz="1100" b="0" i="0">
                  <a:latin typeface="Cambria Math" panose="02040503050406030204" pitchFamily="18" charset="0"/>
                  <a:ea typeface="Cambria Math" panose="02040503050406030204" pitchFamily="18" charset="0"/>
                </a:rPr>
                <a:t>𝜇) </a:t>
              </a:r>
              <a:r>
                <a:rPr lang="de-DE" sz="1100" b="0" i="0">
                  <a:latin typeface="Cambria Math" panose="02040503050406030204" pitchFamily="18" charset="0"/>
                </a:rPr>
                <a:t> </a:t>
              </a:r>
              <a:endParaRPr lang="de-DE" sz="1100"/>
            </a:p>
          </xdr:txBody>
        </xdr:sp>
      </mc:Fallback>
    </mc:AlternateContent>
    <xdr:clientData/>
  </xdr:oneCellAnchor>
  <xdr:oneCellAnchor>
    <xdr:from>
      <xdr:col>1</xdr:col>
      <xdr:colOff>184547</xdr:colOff>
      <xdr:row>45</xdr:row>
      <xdr:rowOff>166688</xdr:rowOff>
    </xdr:from>
    <xdr:ext cx="1667444" cy="380361"/>
    <mc:AlternateContent xmlns:mc="http://schemas.openxmlformats.org/markup-compatibility/2006" xmlns:a14="http://schemas.microsoft.com/office/drawing/2010/main">
      <mc:Choice Requires="a14">
        <xdr:sp macro="" textlink="">
          <xdr:nvSpPr>
            <xdr:cNvPr id="6" name="Textfeld 5">
              <a:extLst>
                <a:ext uri="{FF2B5EF4-FFF2-40B4-BE49-F238E27FC236}">
                  <a16:creationId xmlns:a16="http://schemas.microsoft.com/office/drawing/2014/main" id="{B7242ED2-C26B-4D4A-8DD6-3B8DA43919D3}"/>
                </a:ext>
              </a:extLst>
            </xdr:cNvPr>
            <xdr:cNvSpPr txBox="1"/>
          </xdr:nvSpPr>
          <xdr:spPr>
            <a:xfrm>
              <a:off x="1006078" y="10150079"/>
              <a:ext cx="166744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𝐸𝐺</m:t>
                    </m:r>
                    <m:r>
                      <a:rPr lang="de-DE" sz="1100" b="0" i="1">
                        <a:latin typeface="Cambria Math" panose="02040503050406030204" pitchFamily="18" charset="0"/>
                      </a:rPr>
                      <m:t>=</m:t>
                    </m:r>
                    <m:f>
                      <m:fPr>
                        <m:ctrlPr>
                          <a:rPr lang="de-DE" sz="1100" i="1">
                            <a:solidFill>
                              <a:schemeClr val="tx1"/>
                            </a:solidFill>
                            <a:effectLst/>
                            <a:latin typeface="Cambria Math" panose="02040503050406030204" pitchFamily="18" charset="0"/>
                            <a:ea typeface="+mn-ea"/>
                            <a:cs typeface="+mn-cs"/>
                          </a:rPr>
                        </m:ctrlPr>
                      </m:fPr>
                      <m:num>
                        <m:r>
                          <m:rPr>
                            <m:sty m:val="p"/>
                          </m:rPr>
                          <a:rPr lang="de-DE" sz="1100">
                            <a:solidFill>
                              <a:schemeClr val="tx1"/>
                            </a:solidFill>
                            <a:effectLst/>
                            <a:latin typeface="Cambria Math" panose="02040503050406030204" pitchFamily="18" charset="0"/>
                            <a:ea typeface="+mn-ea"/>
                            <a:cs typeface="+mn-cs"/>
                          </a:rPr>
                          <m:t>m</m:t>
                        </m:r>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a:rPr lang="de-DE" sz="1100">
                                <a:solidFill>
                                  <a:schemeClr val="tx1"/>
                                </a:solidFill>
                                <a:effectLst/>
                                <a:latin typeface="Cambria Math" panose="02040503050406030204" pitchFamily="18" charset="0"/>
                                <a:ea typeface="+mn-ea"/>
                                <a:cs typeface="+mn-cs"/>
                              </a:rPr>
                              <m:t>0</m:t>
                            </m:r>
                          </m:sub>
                        </m:sSub>
                      </m:den>
                    </m:f>
                    <m:r>
                      <a:rPr lang="de-DE" sz="1100" i="1">
                        <a:solidFill>
                          <a:schemeClr val="tx1"/>
                        </a:solidFill>
                        <a:effectLst/>
                        <a:latin typeface="Cambria Math" panose="02040503050406030204" pitchFamily="18" charset="0"/>
                        <a:ea typeface="+mn-ea"/>
                        <a:cs typeface="+mn-cs"/>
                      </a:rPr>
                      <m:t>∗</m:t>
                    </m:r>
                    <m:d>
                      <m:dPr>
                        <m:ctrlPr>
                          <a:rPr lang="de-DE" sz="1100" i="1">
                            <a:solidFill>
                              <a:schemeClr val="tx1"/>
                            </a:solidFill>
                            <a:effectLst/>
                            <a:latin typeface="Cambria Math" panose="02040503050406030204" pitchFamily="18" charset="0"/>
                            <a:ea typeface="+mn-ea"/>
                            <a:cs typeface="+mn-cs"/>
                          </a:rPr>
                        </m:ctrlPr>
                      </m:dPr>
                      <m:e>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h</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αv</m:t>
                                </m:r>
                              </m:sub>
                            </m:sSub>
                          </m:den>
                        </m:f>
                        <m:r>
                          <a:rPr lang="de-DE" sz="1100" i="1">
                            <a:solidFill>
                              <a:schemeClr val="tx1"/>
                            </a:solidFill>
                            <a:effectLst/>
                            <a:latin typeface="Cambria Math" panose="02040503050406030204" pitchFamily="18" charset="0"/>
                            <a:ea typeface="+mn-ea"/>
                            <a:cs typeface="+mn-cs"/>
                          </a:rPr>
                          <m:t>−</m:t>
                        </m:r>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v</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αh</m:t>
                                </m:r>
                              </m:sub>
                            </m:sSub>
                          </m:den>
                        </m:f>
                      </m:e>
                    </m:d>
                    <m:r>
                      <a:rPr lang="de-DE" sz="1100" b="0" i="1">
                        <a:solidFill>
                          <a:schemeClr val="tx1"/>
                        </a:solidFill>
                        <a:effectLst/>
                        <a:latin typeface="Cambria Math" panose="02040503050406030204" pitchFamily="18" charset="0"/>
                        <a:ea typeface="+mn-ea"/>
                        <a:cs typeface="+mn-cs"/>
                      </a:rPr>
                      <m:t>=0</m:t>
                    </m:r>
                  </m:oMath>
                </m:oMathPara>
              </a14:m>
              <a:endParaRPr lang="de-DE" sz="1100"/>
            </a:p>
          </xdr:txBody>
        </xdr:sp>
      </mc:Choice>
      <mc:Fallback xmlns="">
        <xdr:sp macro="" textlink="">
          <xdr:nvSpPr>
            <xdr:cNvPr id="6" name="Textfeld 5">
              <a:extLst>
                <a:ext uri="{FF2B5EF4-FFF2-40B4-BE49-F238E27FC236}">
                  <a16:creationId xmlns:a16="http://schemas.microsoft.com/office/drawing/2014/main" id="{B7242ED2-C26B-4D4A-8DD6-3B8DA43919D3}"/>
                </a:ext>
              </a:extLst>
            </xdr:cNvPr>
            <xdr:cNvSpPr txBox="1"/>
          </xdr:nvSpPr>
          <xdr:spPr>
            <a:xfrm>
              <a:off x="1006078" y="10150079"/>
              <a:ext cx="166744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𝐸𝐺=</a:t>
              </a:r>
              <a:r>
                <a:rPr lang="de-DE" sz="1100" i="0">
                  <a:solidFill>
                    <a:schemeClr val="tx1"/>
                  </a:solidFill>
                  <a:effectLst/>
                  <a:latin typeface="Cambria Math" panose="02040503050406030204" pitchFamily="18" charset="0"/>
                  <a:ea typeface="+mn-ea"/>
                  <a:cs typeface="+mn-cs"/>
                </a:rPr>
                <a:t>m/l_0 ∗(l_h/C_αv −l_v/C_αh )</a:t>
              </a:r>
              <a:r>
                <a:rPr lang="de-DE" sz="1100" b="0" i="0">
                  <a:solidFill>
                    <a:schemeClr val="tx1"/>
                  </a:solidFill>
                  <a:effectLst/>
                  <a:latin typeface="Cambria Math" panose="02040503050406030204" pitchFamily="18" charset="0"/>
                  <a:ea typeface="+mn-ea"/>
                  <a:cs typeface="+mn-cs"/>
                </a:rPr>
                <a:t>=0</a:t>
              </a:r>
              <a:endParaRPr lang="de-DE" sz="1100"/>
            </a:p>
          </xdr:txBody>
        </xdr:sp>
      </mc:Fallback>
    </mc:AlternateContent>
    <xdr:clientData/>
  </xdr:oneCellAnchor>
  <xdr:oneCellAnchor>
    <xdr:from>
      <xdr:col>1</xdr:col>
      <xdr:colOff>205980</xdr:colOff>
      <xdr:row>47</xdr:row>
      <xdr:rowOff>39291</xdr:rowOff>
    </xdr:from>
    <xdr:ext cx="890500" cy="350032"/>
    <mc:AlternateContent xmlns:mc="http://schemas.openxmlformats.org/markup-compatibility/2006" xmlns:a14="http://schemas.microsoft.com/office/drawing/2010/main">
      <mc:Choice Requires="a14">
        <xdr:sp macro="" textlink="">
          <xdr:nvSpPr>
            <xdr:cNvPr id="7" name="Textfeld 6">
              <a:extLst>
                <a:ext uri="{FF2B5EF4-FFF2-40B4-BE49-F238E27FC236}">
                  <a16:creationId xmlns:a16="http://schemas.microsoft.com/office/drawing/2014/main" id="{0C8A6DB9-F017-4A13-9BA5-4AB2EB4C9276}"/>
                </a:ext>
              </a:extLst>
            </xdr:cNvPr>
            <xdr:cNvSpPr txBox="1"/>
          </xdr:nvSpPr>
          <xdr:spPr>
            <a:xfrm>
              <a:off x="1027511" y="10606088"/>
              <a:ext cx="890500" cy="350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h</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αv</m:t>
                            </m:r>
                          </m:sub>
                        </m:sSub>
                      </m:den>
                    </m:f>
                    <m:r>
                      <a:rPr lang="de-DE" sz="1100" i="1">
                        <a:solidFill>
                          <a:schemeClr val="tx1"/>
                        </a:solidFill>
                        <a:effectLst/>
                        <a:latin typeface="Cambria Math" panose="02040503050406030204" pitchFamily="18" charset="0"/>
                        <a:ea typeface="+mn-ea"/>
                        <a:cs typeface="+mn-cs"/>
                      </a:rPr>
                      <m:t>−</m:t>
                    </m:r>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v</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αh</m:t>
                            </m:r>
                          </m:sub>
                        </m:sSub>
                      </m:den>
                    </m:f>
                    <m:r>
                      <a:rPr lang="de-DE" sz="1100" b="0" i="1">
                        <a:solidFill>
                          <a:schemeClr val="tx1"/>
                        </a:solidFill>
                        <a:effectLst/>
                        <a:latin typeface="Cambria Math" panose="02040503050406030204" pitchFamily="18" charset="0"/>
                        <a:ea typeface="+mn-ea"/>
                        <a:cs typeface="+mn-cs"/>
                      </a:rPr>
                      <m:t>=0</m:t>
                    </m:r>
                  </m:oMath>
                </m:oMathPara>
              </a14:m>
              <a:endParaRPr lang="de-DE" sz="1100"/>
            </a:p>
          </xdr:txBody>
        </xdr:sp>
      </mc:Choice>
      <mc:Fallback xmlns="">
        <xdr:sp macro="" textlink="">
          <xdr:nvSpPr>
            <xdr:cNvPr id="7" name="Textfeld 6">
              <a:extLst>
                <a:ext uri="{FF2B5EF4-FFF2-40B4-BE49-F238E27FC236}">
                  <a16:creationId xmlns:a16="http://schemas.microsoft.com/office/drawing/2014/main" id="{0C8A6DB9-F017-4A13-9BA5-4AB2EB4C9276}"/>
                </a:ext>
              </a:extLst>
            </xdr:cNvPr>
            <xdr:cNvSpPr txBox="1"/>
          </xdr:nvSpPr>
          <xdr:spPr>
            <a:xfrm>
              <a:off x="1027511" y="10606088"/>
              <a:ext cx="890500" cy="350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mn-lt"/>
                  <a:ea typeface="+mn-ea"/>
                  <a:cs typeface="+mn-cs"/>
                </a:rPr>
                <a:t>l_h/C_αv −l_v/C_αh </a:t>
              </a:r>
              <a:r>
                <a:rPr lang="de-DE" sz="1100" b="0" i="0">
                  <a:solidFill>
                    <a:schemeClr val="tx1"/>
                  </a:solidFill>
                  <a:effectLst/>
                  <a:latin typeface="Cambria Math" panose="02040503050406030204" pitchFamily="18" charset="0"/>
                  <a:ea typeface="+mn-ea"/>
                  <a:cs typeface="+mn-cs"/>
                </a:rPr>
                <a:t>=0</a:t>
              </a:r>
              <a:endParaRPr lang="de-DE" sz="1100"/>
            </a:p>
          </xdr:txBody>
        </xdr:sp>
      </mc:Fallback>
    </mc:AlternateContent>
    <xdr:clientData/>
  </xdr:oneCellAnchor>
  <xdr:oneCellAnchor>
    <xdr:from>
      <xdr:col>0</xdr:col>
      <xdr:colOff>126208</xdr:colOff>
      <xdr:row>48</xdr:row>
      <xdr:rowOff>30958</xdr:rowOff>
    </xdr:from>
    <xdr:ext cx="612988" cy="349968"/>
    <mc:AlternateContent xmlns:mc="http://schemas.openxmlformats.org/markup-compatibility/2006" xmlns:a14="http://schemas.microsoft.com/office/drawing/2010/main">
      <mc:Choice Requires="a14">
        <xdr:sp macro="" textlink="">
          <xdr:nvSpPr>
            <xdr:cNvPr id="13" name="Textfeld 12">
              <a:extLst>
                <a:ext uri="{FF2B5EF4-FFF2-40B4-BE49-F238E27FC236}">
                  <a16:creationId xmlns:a16="http://schemas.microsoft.com/office/drawing/2014/main" id="{8D1905DE-C6D3-4D6D-AD45-B6CAFCFCC5A9}"/>
                </a:ext>
              </a:extLst>
            </xdr:cNvPr>
            <xdr:cNvSpPr txBox="1"/>
          </xdr:nvSpPr>
          <xdr:spPr>
            <a:xfrm>
              <a:off x="126208" y="11062099"/>
              <a:ext cx="612988" cy="349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h</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αv</m:t>
                            </m:r>
                          </m:sub>
                        </m:sSub>
                      </m:den>
                    </m:f>
                    <m:r>
                      <a:rPr lang="de-DE" sz="1100" b="0" i="1">
                        <a:solidFill>
                          <a:schemeClr val="tx1"/>
                        </a:solidFill>
                        <a:effectLst/>
                        <a:latin typeface="Cambria Math" panose="02040503050406030204" pitchFamily="18" charset="0"/>
                        <a:ea typeface="+mn-ea"/>
                        <a:cs typeface="+mn-cs"/>
                      </a:rPr>
                      <m:t>=</m:t>
                    </m:r>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v</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αh</m:t>
                            </m:r>
                          </m:sub>
                        </m:sSub>
                      </m:den>
                    </m:f>
                  </m:oMath>
                </m:oMathPara>
              </a14:m>
              <a:endParaRPr lang="de-DE" sz="1100"/>
            </a:p>
          </xdr:txBody>
        </xdr:sp>
      </mc:Choice>
      <mc:Fallback xmlns="">
        <xdr:sp macro="" textlink="">
          <xdr:nvSpPr>
            <xdr:cNvPr id="13" name="Textfeld 12">
              <a:extLst>
                <a:ext uri="{FF2B5EF4-FFF2-40B4-BE49-F238E27FC236}">
                  <a16:creationId xmlns:a16="http://schemas.microsoft.com/office/drawing/2014/main" id="{8D1905DE-C6D3-4D6D-AD45-B6CAFCFCC5A9}"/>
                </a:ext>
              </a:extLst>
            </xdr:cNvPr>
            <xdr:cNvSpPr txBox="1"/>
          </xdr:nvSpPr>
          <xdr:spPr>
            <a:xfrm>
              <a:off x="126208" y="11062099"/>
              <a:ext cx="612988" cy="349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mn-lt"/>
                  <a:ea typeface="+mn-ea"/>
                  <a:cs typeface="+mn-cs"/>
                </a:rPr>
                <a:t>l_h/C_αv </a:t>
              </a:r>
              <a:r>
                <a:rPr lang="de-DE" sz="1100" b="0" i="0">
                  <a:solidFill>
                    <a:schemeClr val="tx1"/>
                  </a:solidFill>
                  <a:effectLst/>
                  <a:latin typeface="Cambria Math" panose="02040503050406030204" pitchFamily="18" charset="0"/>
                  <a:ea typeface="+mn-ea"/>
                  <a:cs typeface="+mn-cs"/>
                </a:rPr>
                <a:t>=</a:t>
              </a:r>
              <a:r>
                <a:rPr lang="de-DE" sz="1100" i="0">
                  <a:solidFill>
                    <a:schemeClr val="tx1"/>
                  </a:solidFill>
                  <a:effectLst/>
                  <a:latin typeface="+mn-lt"/>
                  <a:ea typeface="+mn-ea"/>
                  <a:cs typeface="+mn-cs"/>
                </a:rPr>
                <a:t>l_v/C_αh </a:t>
              </a:r>
              <a:endParaRPr lang="de-DE" sz="1100"/>
            </a:p>
          </xdr:txBody>
        </xdr:sp>
      </mc:Fallback>
    </mc:AlternateContent>
    <xdr:clientData/>
  </xdr:oneCellAnchor>
  <xdr:oneCellAnchor>
    <xdr:from>
      <xdr:col>2</xdr:col>
      <xdr:colOff>129778</xdr:colOff>
      <xdr:row>48</xdr:row>
      <xdr:rowOff>40483</xdr:rowOff>
    </xdr:from>
    <xdr:ext cx="524887" cy="349968"/>
    <mc:AlternateContent xmlns:mc="http://schemas.openxmlformats.org/markup-compatibility/2006" xmlns:a14="http://schemas.microsoft.com/office/drawing/2010/main">
      <mc:Choice Requires="a14">
        <xdr:sp macro="" textlink="">
          <xdr:nvSpPr>
            <xdr:cNvPr id="16" name="Textfeld 15">
              <a:extLst>
                <a:ext uri="{FF2B5EF4-FFF2-40B4-BE49-F238E27FC236}">
                  <a16:creationId xmlns:a16="http://schemas.microsoft.com/office/drawing/2014/main" id="{0D6ADDF3-4AB4-4DAD-8B96-64DB05A50B70}"/>
                </a:ext>
              </a:extLst>
            </xdr:cNvPr>
            <xdr:cNvSpPr txBox="1"/>
          </xdr:nvSpPr>
          <xdr:spPr>
            <a:xfrm>
              <a:off x="2594372" y="11071624"/>
              <a:ext cx="524887" cy="349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αh</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αv</m:t>
                            </m:r>
                          </m:sub>
                        </m:sSub>
                      </m:den>
                    </m:f>
                    <m:r>
                      <a:rPr lang="de-DE" sz="1100" b="0" i="1">
                        <a:solidFill>
                          <a:schemeClr val="tx1"/>
                        </a:solidFill>
                        <a:effectLst/>
                        <a:latin typeface="Cambria Math" panose="02040503050406030204" pitchFamily="18" charset="0"/>
                        <a:ea typeface="+mn-ea"/>
                        <a:cs typeface="+mn-cs"/>
                      </a:rPr>
                      <m:t>=</m:t>
                    </m:r>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v</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h</m:t>
                            </m:r>
                          </m:sub>
                        </m:sSub>
                      </m:den>
                    </m:f>
                  </m:oMath>
                </m:oMathPara>
              </a14:m>
              <a:endParaRPr lang="de-DE" sz="1100"/>
            </a:p>
          </xdr:txBody>
        </xdr:sp>
      </mc:Choice>
      <mc:Fallback xmlns="">
        <xdr:sp macro="" textlink="">
          <xdr:nvSpPr>
            <xdr:cNvPr id="16" name="Textfeld 15">
              <a:extLst>
                <a:ext uri="{FF2B5EF4-FFF2-40B4-BE49-F238E27FC236}">
                  <a16:creationId xmlns:a16="http://schemas.microsoft.com/office/drawing/2014/main" id="{0D6ADDF3-4AB4-4DAD-8B96-64DB05A50B70}"/>
                </a:ext>
              </a:extLst>
            </xdr:cNvPr>
            <xdr:cNvSpPr txBox="1"/>
          </xdr:nvSpPr>
          <xdr:spPr>
            <a:xfrm>
              <a:off x="2594372" y="11071624"/>
              <a:ext cx="524887" cy="349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mn-lt"/>
                  <a:ea typeface="+mn-ea"/>
                  <a:cs typeface="+mn-cs"/>
                </a:rPr>
                <a:t>C_αh/C_αv </a:t>
              </a:r>
              <a:r>
                <a:rPr lang="de-DE" sz="1100" b="0" i="0">
                  <a:solidFill>
                    <a:schemeClr val="tx1"/>
                  </a:solidFill>
                  <a:effectLst/>
                  <a:latin typeface="Cambria Math" panose="02040503050406030204" pitchFamily="18" charset="0"/>
                  <a:ea typeface="+mn-ea"/>
                  <a:cs typeface="+mn-cs"/>
                </a:rPr>
                <a:t>=</a:t>
              </a:r>
              <a:r>
                <a:rPr lang="de-DE" sz="1100" i="0">
                  <a:solidFill>
                    <a:schemeClr val="tx1"/>
                  </a:solidFill>
                  <a:effectLst/>
                  <a:latin typeface="+mn-lt"/>
                  <a:ea typeface="+mn-ea"/>
                  <a:cs typeface="+mn-cs"/>
                </a:rPr>
                <a:t>l_v/l_h </a:t>
              </a:r>
              <a:endParaRPr lang="de-DE" sz="1100"/>
            </a:p>
          </xdr:txBody>
        </xdr:sp>
      </mc:Fallback>
    </mc:AlternateContent>
    <xdr:clientData/>
  </xdr:oneCellAnchor>
  <xdr:oneCellAnchor>
    <xdr:from>
      <xdr:col>4</xdr:col>
      <xdr:colOff>154782</xdr:colOff>
      <xdr:row>48</xdr:row>
      <xdr:rowOff>53577</xdr:rowOff>
    </xdr:from>
    <xdr:ext cx="517706" cy="349968"/>
    <mc:AlternateContent xmlns:mc="http://schemas.openxmlformats.org/markup-compatibility/2006" xmlns:a14="http://schemas.microsoft.com/office/drawing/2010/main">
      <mc:Choice Requires="a14">
        <xdr:sp macro="" textlink="">
          <xdr:nvSpPr>
            <xdr:cNvPr id="17" name="Textfeld 16">
              <a:extLst>
                <a:ext uri="{FF2B5EF4-FFF2-40B4-BE49-F238E27FC236}">
                  <a16:creationId xmlns:a16="http://schemas.microsoft.com/office/drawing/2014/main" id="{BF99DD6E-8432-4FC9-BEFB-F33EC7F25661}"/>
                </a:ext>
              </a:extLst>
            </xdr:cNvPr>
            <xdr:cNvSpPr txBox="1"/>
          </xdr:nvSpPr>
          <xdr:spPr>
            <a:xfrm>
              <a:off x="3440907" y="11084718"/>
              <a:ext cx="517706" cy="349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v</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h</m:t>
                            </m:r>
                          </m:sub>
                        </m:sSub>
                      </m:den>
                    </m:f>
                    <m:r>
                      <a:rPr lang="de-DE" sz="1100" b="0" i="1">
                        <a:solidFill>
                          <a:schemeClr val="tx1"/>
                        </a:solidFill>
                        <a:effectLst/>
                        <a:latin typeface="Cambria Math" panose="02040503050406030204" pitchFamily="18" charset="0"/>
                        <a:ea typeface="+mn-ea"/>
                        <a:cs typeface="+mn-cs"/>
                      </a:rPr>
                      <m:t>=</m:t>
                    </m:r>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αh</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C</m:t>
                            </m:r>
                          </m:e>
                          <m:sub>
                            <m:r>
                              <m:rPr>
                                <m:sty m:val="p"/>
                              </m:rPr>
                              <a:rPr lang="de-DE" sz="1100">
                                <a:solidFill>
                                  <a:schemeClr val="tx1"/>
                                </a:solidFill>
                                <a:effectLst/>
                                <a:latin typeface="Cambria Math" panose="02040503050406030204" pitchFamily="18" charset="0"/>
                                <a:ea typeface="+mn-ea"/>
                                <a:cs typeface="+mn-cs"/>
                              </a:rPr>
                              <m:t>αv</m:t>
                            </m:r>
                          </m:sub>
                        </m:sSub>
                      </m:den>
                    </m:f>
                  </m:oMath>
                </m:oMathPara>
              </a14:m>
              <a:endParaRPr lang="de-DE" sz="1100"/>
            </a:p>
          </xdr:txBody>
        </xdr:sp>
      </mc:Choice>
      <mc:Fallback xmlns="">
        <xdr:sp macro="" textlink="">
          <xdr:nvSpPr>
            <xdr:cNvPr id="17" name="Textfeld 16">
              <a:extLst>
                <a:ext uri="{FF2B5EF4-FFF2-40B4-BE49-F238E27FC236}">
                  <a16:creationId xmlns:a16="http://schemas.microsoft.com/office/drawing/2014/main" id="{BF99DD6E-8432-4FC9-BEFB-F33EC7F25661}"/>
                </a:ext>
              </a:extLst>
            </xdr:cNvPr>
            <xdr:cNvSpPr txBox="1"/>
          </xdr:nvSpPr>
          <xdr:spPr>
            <a:xfrm>
              <a:off x="3440907" y="11084718"/>
              <a:ext cx="517706" cy="349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mn-lt"/>
                  <a:ea typeface="+mn-ea"/>
                  <a:cs typeface="+mn-cs"/>
                </a:rPr>
                <a:t>l_v/l_h </a:t>
              </a:r>
              <a:r>
                <a:rPr lang="de-DE" sz="1100" b="0" i="0">
                  <a:solidFill>
                    <a:schemeClr val="tx1"/>
                  </a:solidFill>
                  <a:effectLst/>
                  <a:latin typeface="Cambria Math" panose="02040503050406030204" pitchFamily="18" charset="0"/>
                  <a:ea typeface="+mn-ea"/>
                  <a:cs typeface="+mn-cs"/>
                </a:rPr>
                <a:t>=</a:t>
              </a:r>
              <a:r>
                <a:rPr lang="de-DE" sz="1100" i="0">
                  <a:solidFill>
                    <a:schemeClr val="tx1"/>
                  </a:solidFill>
                  <a:effectLst/>
                  <a:latin typeface="+mn-lt"/>
                  <a:ea typeface="+mn-ea"/>
                  <a:cs typeface="+mn-cs"/>
                </a:rPr>
                <a:t>C_αh/C_αv </a:t>
              </a:r>
              <a:endParaRPr lang="de-DE" sz="1100"/>
            </a:p>
          </xdr:txBody>
        </xdr:sp>
      </mc:Fallback>
    </mc:AlternateContent>
    <xdr:clientData/>
  </xdr:oneCellAnchor>
  <xdr:oneCellAnchor>
    <xdr:from>
      <xdr:col>4</xdr:col>
      <xdr:colOff>500063</xdr:colOff>
      <xdr:row>50</xdr:row>
      <xdr:rowOff>23812</xdr:rowOff>
    </xdr:from>
    <xdr:ext cx="277384" cy="349135"/>
    <mc:AlternateContent xmlns:mc="http://schemas.openxmlformats.org/markup-compatibility/2006" xmlns:a14="http://schemas.microsoft.com/office/drawing/2010/main">
      <mc:Choice Requires="a14">
        <xdr:sp macro="" textlink="">
          <xdr:nvSpPr>
            <xdr:cNvPr id="19" name="Textfeld 18">
              <a:extLst>
                <a:ext uri="{FF2B5EF4-FFF2-40B4-BE49-F238E27FC236}">
                  <a16:creationId xmlns:a16="http://schemas.microsoft.com/office/drawing/2014/main" id="{122B010A-B3E7-4124-8B52-2646A06169E4}"/>
                </a:ext>
              </a:extLst>
            </xdr:cNvPr>
            <xdr:cNvSpPr txBox="1"/>
          </xdr:nvSpPr>
          <xdr:spPr>
            <a:xfrm>
              <a:off x="2964657" y="11662171"/>
              <a:ext cx="277384" cy="349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v</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l</m:t>
                            </m:r>
                          </m:e>
                          <m:sub>
                            <m:r>
                              <m:rPr>
                                <m:sty m:val="p"/>
                              </m:rPr>
                              <a:rPr lang="de-DE" sz="1100">
                                <a:solidFill>
                                  <a:schemeClr val="tx1"/>
                                </a:solidFill>
                                <a:effectLst/>
                                <a:latin typeface="Cambria Math" panose="02040503050406030204" pitchFamily="18" charset="0"/>
                                <a:ea typeface="+mn-ea"/>
                                <a:cs typeface="+mn-cs"/>
                              </a:rPr>
                              <m:t>h</m:t>
                            </m:r>
                          </m:sub>
                        </m:sSub>
                      </m:den>
                    </m:f>
                    <m:r>
                      <a:rPr lang="de-DE" sz="1100" b="0" i="1">
                        <a:solidFill>
                          <a:schemeClr val="tx1"/>
                        </a:solidFill>
                        <a:effectLst/>
                        <a:latin typeface="Cambria Math" panose="02040503050406030204" pitchFamily="18" charset="0"/>
                        <a:ea typeface="+mn-ea"/>
                        <a:cs typeface="+mn-cs"/>
                      </a:rPr>
                      <m:t>=</m:t>
                    </m:r>
                  </m:oMath>
                </m:oMathPara>
              </a14:m>
              <a:endParaRPr lang="de-DE" sz="1100"/>
            </a:p>
          </xdr:txBody>
        </xdr:sp>
      </mc:Choice>
      <mc:Fallback xmlns="">
        <xdr:sp macro="" textlink="">
          <xdr:nvSpPr>
            <xdr:cNvPr id="19" name="Textfeld 18">
              <a:extLst>
                <a:ext uri="{FF2B5EF4-FFF2-40B4-BE49-F238E27FC236}">
                  <a16:creationId xmlns:a16="http://schemas.microsoft.com/office/drawing/2014/main" id="{122B010A-B3E7-4124-8B52-2646A06169E4}"/>
                </a:ext>
              </a:extLst>
            </xdr:cNvPr>
            <xdr:cNvSpPr txBox="1"/>
          </xdr:nvSpPr>
          <xdr:spPr>
            <a:xfrm>
              <a:off x="2964657" y="11662171"/>
              <a:ext cx="277384" cy="349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mn-lt"/>
                  <a:ea typeface="+mn-ea"/>
                  <a:cs typeface="+mn-cs"/>
                </a:rPr>
                <a:t>l_v/l_h </a:t>
              </a:r>
              <a:r>
                <a:rPr lang="de-DE" sz="1100" b="0" i="0">
                  <a:solidFill>
                    <a:schemeClr val="tx1"/>
                  </a:solidFill>
                  <a:effectLst/>
                  <a:latin typeface="Cambria Math" panose="02040503050406030204" pitchFamily="18" charset="0"/>
                  <a:ea typeface="+mn-ea"/>
                  <a:cs typeface="+mn-cs"/>
                </a:rPr>
                <a:t>=</a:t>
              </a:r>
              <a:endParaRPr lang="de-DE"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twoCellAnchor editAs="oneCell">
    <xdr:from>
      <xdr:col>5</xdr:col>
      <xdr:colOff>79135</xdr:colOff>
      <xdr:row>14</xdr:row>
      <xdr:rowOff>42497</xdr:rowOff>
    </xdr:from>
    <xdr:to>
      <xdr:col>7</xdr:col>
      <xdr:colOff>537067</xdr:colOff>
      <xdr:row>25</xdr:row>
      <xdr:rowOff>90122</xdr:rowOff>
    </xdr:to>
    <xdr:pic>
      <xdr:nvPicPr>
        <xdr:cNvPr id="49" name="Grafik 48" descr="90+ Grafiken, lizenzfreie Vektorgrafiken und Clipart zu Wheelie Motorrad -  iStock">
          <a:extLst>
            <a:ext uri="{FF2B5EF4-FFF2-40B4-BE49-F238E27FC236}">
              <a16:creationId xmlns:a16="http://schemas.microsoft.com/office/drawing/2014/main" id="{D9034380-11F8-468E-8BE2-2A065FF861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89135" y="2137997"/>
          <a:ext cx="2143125"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234462</xdr:colOff>
      <xdr:row>15</xdr:row>
      <xdr:rowOff>131884</xdr:rowOff>
    </xdr:from>
    <xdr:to>
      <xdr:col>4</xdr:col>
      <xdr:colOff>91587</xdr:colOff>
      <xdr:row>26</xdr:row>
      <xdr:rowOff>179509</xdr:rowOff>
    </xdr:to>
    <xdr:pic>
      <xdr:nvPicPr>
        <xdr:cNvPr id="48" name="Grafik 47" descr="90+ Grafiken, lizenzfreie Vektorgrafiken und Clipart zu Wheelie Motorrad -  iStock">
          <a:extLst>
            <a:ext uri="{FF2B5EF4-FFF2-40B4-BE49-F238E27FC236}">
              <a16:creationId xmlns:a16="http://schemas.microsoft.com/office/drawing/2014/main" id="{853FE047-8A99-3C10-654A-5AA72557C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1434492">
          <a:off x="2520462" y="2417884"/>
          <a:ext cx="2143125"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523143</xdr:colOff>
      <xdr:row>24</xdr:row>
      <xdr:rowOff>142143</xdr:rowOff>
    </xdr:from>
    <xdr:to>
      <xdr:col>1</xdr:col>
      <xdr:colOff>523143</xdr:colOff>
      <xdr:row>31</xdr:row>
      <xdr:rowOff>151667</xdr:rowOff>
    </xdr:to>
    <xdr:cxnSp macro="">
      <xdr:nvCxnSpPr>
        <xdr:cNvPr id="3" name="Gerade Verbindung mit Pfeil 2">
          <a:extLst>
            <a:ext uri="{FF2B5EF4-FFF2-40B4-BE49-F238E27FC236}">
              <a16:creationId xmlns:a16="http://schemas.microsoft.com/office/drawing/2014/main" id="{BDE4947C-4AA1-4CB7-A85A-77AFA7DB7063}"/>
            </a:ext>
          </a:extLst>
        </xdr:cNvPr>
        <xdr:cNvCxnSpPr/>
      </xdr:nvCxnSpPr>
      <xdr:spPr>
        <a:xfrm flipV="1">
          <a:off x="2047143" y="4142643"/>
          <a:ext cx="0" cy="1343024"/>
        </a:xfrm>
        <a:prstGeom prst="straightConnector1">
          <a:avLst/>
        </a:prstGeom>
        <a:ln w="254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337038</xdr:colOff>
      <xdr:row>24</xdr:row>
      <xdr:rowOff>135549</xdr:rowOff>
    </xdr:from>
    <xdr:to>
      <xdr:col>3</xdr:col>
      <xdr:colOff>337038</xdr:colOff>
      <xdr:row>32</xdr:row>
      <xdr:rowOff>2198</xdr:rowOff>
    </xdr:to>
    <xdr:cxnSp macro="">
      <xdr:nvCxnSpPr>
        <xdr:cNvPr id="4" name="Gerade Verbindung mit Pfeil 3">
          <a:extLst>
            <a:ext uri="{FF2B5EF4-FFF2-40B4-BE49-F238E27FC236}">
              <a16:creationId xmlns:a16="http://schemas.microsoft.com/office/drawing/2014/main" id="{BB2376EC-12F3-4CE5-B8B9-5F41DAE7DEDD}"/>
            </a:ext>
          </a:extLst>
        </xdr:cNvPr>
        <xdr:cNvCxnSpPr/>
      </xdr:nvCxnSpPr>
      <xdr:spPr>
        <a:xfrm flipV="1">
          <a:off x="3385038" y="4136049"/>
          <a:ext cx="0" cy="1390649"/>
        </a:xfrm>
        <a:prstGeom prst="straightConnector1">
          <a:avLst/>
        </a:prstGeom>
        <a:ln w="254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476183</xdr:colOff>
      <xdr:row>22</xdr:row>
      <xdr:rowOff>9525</xdr:rowOff>
    </xdr:from>
    <xdr:to>
      <xdr:col>2</xdr:col>
      <xdr:colOff>476250</xdr:colOff>
      <xdr:row>28</xdr:row>
      <xdr:rowOff>95250</xdr:rowOff>
    </xdr:to>
    <xdr:cxnSp macro="">
      <xdr:nvCxnSpPr>
        <xdr:cNvPr id="5" name="Gerade Verbindung mit Pfeil 4">
          <a:extLst>
            <a:ext uri="{FF2B5EF4-FFF2-40B4-BE49-F238E27FC236}">
              <a16:creationId xmlns:a16="http://schemas.microsoft.com/office/drawing/2014/main" id="{53EF3559-2558-4499-B23B-8B29D566FF79}"/>
            </a:ext>
          </a:extLst>
        </xdr:cNvPr>
        <xdr:cNvCxnSpPr/>
      </xdr:nvCxnSpPr>
      <xdr:spPr>
        <a:xfrm>
          <a:off x="2762183" y="3629025"/>
          <a:ext cx="67" cy="1228725"/>
        </a:xfrm>
        <a:prstGeom prst="straightConnector1">
          <a:avLst/>
        </a:prstGeom>
        <a:ln w="25400">
          <a:gradFill>
            <a:gsLst>
              <a:gs pos="50000">
                <a:schemeClr val="tx1"/>
              </a:gs>
              <a:gs pos="0">
                <a:schemeClr val="tx1"/>
              </a:gs>
              <a:gs pos="100000">
                <a:schemeClr val="tx1"/>
              </a:gs>
            </a:gsLst>
            <a:lin ang="5400000" scaled="1"/>
          </a:gradFill>
          <a:headEnd type="ova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393104</xdr:colOff>
      <xdr:row>20</xdr:row>
      <xdr:rowOff>126469</xdr:rowOff>
    </xdr:from>
    <xdr:to>
      <xdr:col>4</xdr:col>
      <xdr:colOff>322385</xdr:colOff>
      <xdr:row>20</xdr:row>
      <xdr:rowOff>131885</xdr:rowOff>
    </xdr:to>
    <xdr:cxnSp macro="">
      <xdr:nvCxnSpPr>
        <xdr:cNvPr id="6" name="Gerade Verbindung mit Pfeil 5">
          <a:extLst>
            <a:ext uri="{FF2B5EF4-FFF2-40B4-BE49-F238E27FC236}">
              <a16:creationId xmlns:a16="http://schemas.microsoft.com/office/drawing/2014/main" id="{B4C5EC00-EAB9-42E1-BDEE-86E3171AAC8F}"/>
            </a:ext>
          </a:extLst>
        </xdr:cNvPr>
        <xdr:cNvCxnSpPr/>
      </xdr:nvCxnSpPr>
      <xdr:spPr>
        <a:xfrm flipH="1" flipV="1">
          <a:off x="3441104" y="3364969"/>
          <a:ext cx="691281" cy="5416"/>
        </a:xfrm>
        <a:prstGeom prst="straightConnector1">
          <a:avLst/>
        </a:prstGeom>
        <a:ln w="254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387213</xdr:colOff>
      <xdr:row>19</xdr:row>
      <xdr:rowOff>128192</xdr:rowOff>
    </xdr:from>
    <xdr:to>
      <xdr:col>5</xdr:col>
      <xdr:colOff>21981</xdr:colOff>
      <xdr:row>21</xdr:row>
      <xdr:rowOff>80566</xdr:rowOff>
    </xdr:to>
    <xdr:sp macro="" textlink="">
      <xdr:nvSpPr>
        <xdr:cNvPr id="7" name="Textfeld 6">
          <a:extLst>
            <a:ext uri="{FF2B5EF4-FFF2-40B4-BE49-F238E27FC236}">
              <a16:creationId xmlns:a16="http://schemas.microsoft.com/office/drawing/2014/main" id="{44F5BFC8-6DDD-4723-B43B-3C062C891B52}"/>
            </a:ext>
          </a:extLst>
        </xdr:cNvPr>
        <xdr:cNvSpPr txBox="1"/>
      </xdr:nvSpPr>
      <xdr:spPr>
        <a:xfrm>
          <a:off x="3435213" y="3176192"/>
          <a:ext cx="396768" cy="33337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LW</a:t>
          </a:r>
          <a:endParaRPr lang="de-DE" sz="1800"/>
        </a:p>
      </xdr:txBody>
    </xdr:sp>
    <xdr:clientData/>
  </xdr:twoCellAnchor>
  <xdr:twoCellAnchor>
    <xdr:from>
      <xdr:col>1</xdr:col>
      <xdr:colOff>266700</xdr:colOff>
      <xdr:row>31</xdr:row>
      <xdr:rowOff>172916</xdr:rowOff>
    </xdr:from>
    <xdr:to>
      <xdr:col>1</xdr:col>
      <xdr:colOff>742950</xdr:colOff>
      <xdr:row>33</xdr:row>
      <xdr:rowOff>125290</xdr:rowOff>
    </xdr:to>
    <xdr:sp macro="" textlink="">
      <xdr:nvSpPr>
        <xdr:cNvPr id="8" name="Textfeld 7">
          <a:extLst>
            <a:ext uri="{FF2B5EF4-FFF2-40B4-BE49-F238E27FC236}">
              <a16:creationId xmlns:a16="http://schemas.microsoft.com/office/drawing/2014/main" id="{BE6A88E7-C707-4BB4-B3AC-D358D53DA615}"/>
            </a:ext>
          </a:extLst>
        </xdr:cNvPr>
        <xdr:cNvSpPr txBox="1"/>
      </xdr:nvSpPr>
      <xdr:spPr>
        <a:xfrm>
          <a:off x="1790700" y="5506916"/>
          <a:ext cx="476250" cy="33337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Nh</a:t>
          </a:r>
          <a:endParaRPr lang="de-DE" sz="1800"/>
        </a:p>
      </xdr:txBody>
    </xdr:sp>
    <xdr:clientData/>
  </xdr:twoCellAnchor>
  <xdr:twoCellAnchor>
    <xdr:from>
      <xdr:col>3</xdr:col>
      <xdr:colOff>119429</xdr:colOff>
      <xdr:row>32</xdr:row>
      <xdr:rowOff>19051</xdr:rowOff>
    </xdr:from>
    <xdr:to>
      <xdr:col>3</xdr:col>
      <xdr:colOff>483577</xdr:colOff>
      <xdr:row>33</xdr:row>
      <xdr:rowOff>161925</xdr:rowOff>
    </xdr:to>
    <xdr:sp macro="" textlink="">
      <xdr:nvSpPr>
        <xdr:cNvPr id="9" name="Textfeld 8">
          <a:extLst>
            <a:ext uri="{FF2B5EF4-FFF2-40B4-BE49-F238E27FC236}">
              <a16:creationId xmlns:a16="http://schemas.microsoft.com/office/drawing/2014/main" id="{8D8BA542-8A00-4FBB-8DEB-25B354487B56}"/>
            </a:ext>
          </a:extLst>
        </xdr:cNvPr>
        <xdr:cNvSpPr txBox="1"/>
      </xdr:nvSpPr>
      <xdr:spPr>
        <a:xfrm>
          <a:off x="3167429" y="5543551"/>
          <a:ext cx="364148" cy="33337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Nv</a:t>
          </a:r>
          <a:endParaRPr lang="de-DE" sz="1800"/>
        </a:p>
      </xdr:txBody>
    </xdr:sp>
    <xdr:clientData/>
  </xdr:twoCellAnchor>
  <xdr:twoCellAnchor>
    <xdr:from>
      <xdr:col>3</xdr:col>
      <xdr:colOff>720493</xdr:colOff>
      <xdr:row>21</xdr:row>
      <xdr:rowOff>179445</xdr:rowOff>
    </xdr:from>
    <xdr:to>
      <xdr:col>3</xdr:col>
      <xdr:colOff>730018</xdr:colOff>
      <xdr:row>24</xdr:row>
      <xdr:rowOff>141345</xdr:rowOff>
    </xdr:to>
    <xdr:cxnSp macro="">
      <xdr:nvCxnSpPr>
        <xdr:cNvPr id="10" name="Gerade Verbindung mit Pfeil 9">
          <a:extLst>
            <a:ext uri="{FF2B5EF4-FFF2-40B4-BE49-F238E27FC236}">
              <a16:creationId xmlns:a16="http://schemas.microsoft.com/office/drawing/2014/main" id="{3A48581C-DF2F-469A-A445-3F79EC7960D9}"/>
            </a:ext>
          </a:extLst>
        </xdr:cNvPr>
        <xdr:cNvCxnSpPr/>
      </xdr:nvCxnSpPr>
      <xdr:spPr>
        <a:xfrm flipH="1">
          <a:off x="3768493" y="3608445"/>
          <a:ext cx="9525" cy="533400"/>
        </a:xfrm>
        <a:prstGeom prst="straightConnector1">
          <a:avLst/>
        </a:prstGeom>
        <a:ln w="15875">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520212</xdr:colOff>
      <xdr:row>27</xdr:row>
      <xdr:rowOff>36635</xdr:rowOff>
    </xdr:from>
    <xdr:to>
      <xdr:col>2</xdr:col>
      <xdr:colOff>466725</xdr:colOff>
      <xdr:row>27</xdr:row>
      <xdr:rowOff>38100</xdr:rowOff>
    </xdr:to>
    <xdr:cxnSp macro="">
      <xdr:nvCxnSpPr>
        <xdr:cNvPr id="11" name="Gerade Verbindung mit Pfeil 10">
          <a:extLst>
            <a:ext uri="{FF2B5EF4-FFF2-40B4-BE49-F238E27FC236}">
              <a16:creationId xmlns:a16="http://schemas.microsoft.com/office/drawing/2014/main" id="{7A498A3D-F2FF-4766-B8FC-9B0BB7DFF7EA}"/>
            </a:ext>
          </a:extLst>
        </xdr:cNvPr>
        <xdr:cNvCxnSpPr/>
      </xdr:nvCxnSpPr>
      <xdr:spPr>
        <a:xfrm>
          <a:off x="2044212" y="4608635"/>
          <a:ext cx="708513" cy="1465"/>
        </a:xfrm>
        <a:prstGeom prst="straightConnector1">
          <a:avLst/>
        </a:prstGeom>
        <a:ln w="15875">
          <a:solidFill>
            <a:srgbClr val="00B05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501510</xdr:colOff>
      <xdr:row>27</xdr:row>
      <xdr:rowOff>45142</xdr:rowOff>
    </xdr:from>
    <xdr:to>
      <xdr:col>3</xdr:col>
      <xdr:colOff>329712</xdr:colOff>
      <xdr:row>27</xdr:row>
      <xdr:rowOff>58615</xdr:rowOff>
    </xdr:to>
    <xdr:cxnSp macro="">
      <xdr:nvCxnSpPr>
        <xdr:cNvPr id="12" name="Gerade Verbindung mit Pfeil 11">
          <a:extLst>
            <a:ext uri="{FF2B5EF4-FFF2-40B4-BE49-F238E27FC236}">
              <a16:creationId xmlns:a16="http://schemas.microsoft.com/office/drawing/2014/main" id="{89119372-67A1-4029-99B0-9F1DF4E1F18D}"/>
            </a:ext>
          </a:extLst>
        </xdr:cNvPr>
        <xdr:cNvCxnSpPr/>
      </xdr:nvCxnSpPr>
      <xdr:spPr>
        <a:xfrm>
          <a:off x="2787510" y="4617142"/>
          <a:ext cx="590202" cy="13473"/>
        </a:xfrm>
        <a:prstGeom prst="straightConnector1">
          <a:avLst/>
        </a:prstGeom>
        <a:ln w="15875">
          <a:solidFill>
            <a:srgbClr val="00B05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517281</xdr:colOff>
      <xdr:row>30</xdr:row>
      <xdr:rowOff>153865</xdr:rowOff>
    </xdr:from>
    <xdr:to>
      <xdr:col>3</xdr:col>
      <xdr:colOff>322385</xdr:colOff>
      <xdr:row>30</xdr:row>
      <xdr:rowOff>160459</xdr:rowOff>
    </xdr:to>
    <xdr:cxnSp macro="">
      <xdr:nvCxnSpPr>
        <xdr:cNvPr id="13" name="Gerade Verbindung mit Pfeil 12">
          <a:extLst>
            <a:ext uri="{FF2B5EF4-FFF2-40B4-BE49-F238E27FC236}">
              <a16:creationId xmlns:a16="http://schemas.microsoft.com/office/drawing/2014/main" id="{719302D0-57C3-48C1-8B46-C543924C4259}"/>
            </a:ext>
          </a:extLst>
        </xdr:cNvPr>
        <xdr:cNvCxnSpPr/>
      </xdr:nvCxnSpPr>
      <xdr:spPr>
        <a:xfrm flipV="1">
          <a:off x="2041281" y="5297365"/>
          <a:ext cx="1329104" cy="6594"/>
        </a:xfrm>
        <a:prstGeom prst="straightConnector1">
          <a:avLst/>
        </a:prstGeom>
        <a:ln w="15875">
          <a:solidFill>
            <a:srgbClr val="00B05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1465</xdr:colOff>
      <xdr:row>26</xdr:row>
      <xdr:rowOff>175848</xdr:rowOff>
    </xdr:from>
    <xdr:to>
      <xdr:col>2</xdr:col>
      <xdr:colOff>325315</xdr:colOff>
      <xdr:row>28</xdr:row>
      <xdr:rowOff>99646</xdr:rowOff>
    </xdr:to>
    <xdr:sp macro="" textlink="">
      <xdr:nvSpPr>
        <xdr:cNvPr id="14" name="Textfeld 13">
          <a:extLst>
            <a:ext uri="{FF2B5EF4-FFF2-40B4-BE49-F238E27FC236}">
              <a16:creationId xmlns:a16="http://schemas.microsoft.com/office/drawing/2014/main" id="{F4AA1B22-530D-498C-BAB4-7CD81D23AA64}"/>
            </a:ext>
          </a:extLst>
        </xdr:cNvPr>
        <xdr:cNvSpPr txBox="1"/>
      </xdr:nvSpPr>
      <xdr:spPr>
        <a:xfrm>
          <a:off x="2287465" y="4557348"/>
          <a:ext cx="323850" cy="304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marL="0" indent="0"/>
          <a:r>
            <a:rPr lang="de-DE" sz="1800">
              <a:solidFill>
                <a:schemeClr val="dk1"/>
              </a:solidFill>
              <a:latin typeface="+mn-lt"/>
              <a:ea typeface="+mn-ea"/>
              <a:cs typeface="+mn-cs"/>
            </a:rPr>
            <a:t>l</a:t>
          </a:r>
          <a:r>
            <a:rPr lang="de-DE" sz="1800" baseline="-25000">
              <a:solidFill>
                <a:schemeClr val="dk1"/>
              </a:solidFill>
              <a:latin typeface="+mn-lt"/>
              <a:ea typeface="+mn-ea"/>
              <a:cs typeface="+mn-cs"/>
            </a:rPr>
            <a:t>h</a:t>
          </a:r>
        </a:p>
      </xdr:txBody>
    </xdr:sp>
    <xdr:clientData/>
  </xdr:twoCellAnchor>
  <xdr:twoCellAnchor>
    <xdr:from>
      <xdr:col>2</xdr:col>
      <xdr:colOff>674077</xdr:colOff>
      <xdr:row>27</xdr:row>
      <xdr:rowOff>14654</xdr:rowOff>
    </xdr:from>
    <xdr:to>
      <xdr:col>3</xdr:col>
      <xdr:colOff>254977</xdr:colOff>
      <xdr:row>28</xdr:row>
      <xdr:rowOff>157528</xdr:rowOff>
    </xdr:to>
    <xdr:sp macro="" textlink="">
      <xdr:nvSpPr>
        <xdr:cNvPr id="15" name="Textfeld 14">
          <a:extLst>
            <a:ext uri="{FF2B5EF4-FFF2-40B4-BE49-F238E27FC236}">
              <a16:creationId xmlns:a16="http://schemas.microsoft.com/office/drawing/2014/main" id="{C6D87AED-29B3-4C59-B192-6991C22BC1BA}"/>
            </a:ext>
          </a:extLst>
        </xdr:cNvPr>
        <xdr:cNvSpPr txBox="1"/>
      </xdr:nvSpPr>
      <xdr:spPr>
        <a:xfrm>
          <a:off x="2960077" y="4586654"/>
          <a:ext cx="3429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l</a:t>
          </a:r>
          <a:r>
            <a:rPr lang="de-DE" sz="1800" baseline="-25000"/>
            <a:t>v</a:t>
          </a:r>
          <a:endParaRPr lang="de-DE" sz="1800"/>
        </a:p>
      </xdr:txBody>
    </xdr:sp>
    <xdr:clientData/>
  </xdr:twoCellAnchor>
  <xdr:twoCellAnchor>
    <xdr:from>
      <xdr:col>2</xdr:col>
      <xdr:colOff>297473</xdr:colOff>
      <xdr:row>30</xdr:row>
      <xdr:rowOff>98181</xdr:rowOff>
    </xdr:from>
    <xdr:to>
      <xdr:col>2</xdr:col>
      <xdr:colOff>640373</xdr:colOff>
      <xdr:row>32</xdr:row>
      <xdr:rowOff>50555</xdr:rowOff>
    </xdr:to>
    <xdr:sp macro="" textlink="">
      <xdr:nvSpPr>
        <xdr:cNvPr id="16" name="Textfeld 15">
          <a:extLst>
            <a:ext uri="{FF2B5EF4-FFF2-40B4-BE49-F238E27FC236}">
              <a16:creationId xmlns:a16="http://schemas.microsoft.com/office/drawing/2014/main" id="{5447D33F-F8AB-499B-921C-A11838B3F91B}"/>
            </a:ext>
          </a:extLst>
        </xdr:cNvPr>
        <xdr:cNvSpPr txBox="1"/>
      </xdr:nvSpPr>
      <xdr:spPr>
        <a:xfrm>
          <a:off x="2583473" y="5241681"/>
          <a:ext cx="3429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l</a:t>
          </a:r>
          <a:r>
            <a:rPr lang="de-DE" sz="1800" baseline="-25000"/>
            <a:t>0</a:t>
          </a:r>
          <a:endParaRPr lang="de-DE" sz="1800"/>
        </a:p>
      </xdr:txBody>
    </xdr:sp>
    <xdr:clientData/>
  </xdr:twoCellAnchor>
  <xdr:twoCellAnchor>
    <xdr:from>
      <xdr:col>4</xdr:col>
      <xdr:colOff>285750</xdr:colOff>
      <xdr:row>20</xdr:row>
      <xdr:rowOff>132395</xdr:rowOff>
    </xdr:from>
    <xdr:to>
      <xdr:col>4</xdr:col>
      <xdr:colOff>290374</xdr:colOff>
      <xdr:row>24</xdr:row>
      <xdr:rowOff>139212</xdr:rowOff>
    </xdr:to>
    <xdr:cxnSp macro="">
      <xdr:nvCxnSpPr>
        <xdr:cNvPr id="17" name="Gerade Verbindung mit Pfeil 16">
          <a:extLst>
            <a:ext uri="{FF2B5EF4-FFF2-40B4-BE49-F238E27FC236}">
              <a16:creationId xmlns:a16="http://schemas.microsoft.com/office/drawing/2014/main" id="{DDD066CE-FC39-43A8-94F9-A399A4B0BE1F}"/>
            </a:ext>
          </a:extLst>
        </xdr:cNvPr>
        <xdr:cNvCxnSpPr/>
      </xdr:nvCxnSpPr>
      <xdr:spPr>
        <a:xfrm flipH="1">
          <a:off x="4095750" y="3370895"/>
          <a:ext cx="4624" cy="768817"/>
        </a:xfrm>
        <a:prstGeom prst="straightConnector1">
          <a:avLst/>
        </a:prstGeom>
        <a:ln w="15875">
          <a:gradFill>
            <a:gsLst>
              <a:gs pos="0">
                <a:schemeClr val="tx1"/>
              </a:gs>
              <a:gs pos="100000">
                <a:schemeClr val="tx1"/>
              </a:gs>
            </a:gsLst>
            <a:lin ang="5400000" scaled="1"/>
          </a:gra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336719</xdr:colOff>
      <xdr:row>21</xdr:row>
      <xdr:rowOff>172502</xdr:rowOff>
    </xdr:from>
    <xdr:to>
      <xdr:col>4</xdr:col>
      <xdr:colOff>784395</xdr:colOff>
      <xdr:row>23</xdr:row>
      <xdr:rowOff>124876</xdr:rowOff>
    </xdr:to>
    <xdr:sp macro="" textlink="">
      <xdr:nvSpPr>
        <xdr:cNvPr id="18" name="Textfeld 17">
          <a:extLst>
            <a:ext uri="{FF2B5EF4-FFF2-40B4-BE49-F238E27FC236}">
              <a16:creationId xmlns:a16="http://schemas.microsoft.com/office/drawing/2014/main" id="{656290AE-D437-4517-ADFC-4281BC65B360}"/>
            </a:ext>
          </a:extLst>
        </xdr:cNvPr>
        <xdr:cNvSpPr txBox="1"/>
      </xdr:nvSpPr>
      <xdr:spPr>
        <a:xfrm>
          <a:off x="4146719" y="3601502"/>
          <a:ext cx="447676"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h</a:t>
          </a:r>
          <a:r>
            <a:rPr lang="de-DE" sz="1800" baseline="-25000"/>
            <a:t>LW</a:t>
          </a:r>
          <a:endParaRPr lang="de-DE" sz="1800"/>
        </a:p>
      </xdr:txBody>
    </xdr:sp>
    <xdr:clientData/>
  </xdr:twoCellAnchor>
  <xdr:twoCellAnchor>
    <xdr:from>
      <xdr:col>2</xdr:col>
      <xdr:colOff>263037</xdr:colOff>
      <xdr:row>28</xdr:row>
      <xdr:rowOff>112102</xdr:rowOff>
    </xdr:from>
    <xdr:to>
      <xdr:col>2</xdr:col>
      <xdr:colOff>682137</xdr:colOff>
      <xdr:row>30</xdr:row>
      <xdr:rowOff>62572</xdr:rowOff>
    </xdr:to>
    <xdr:sp macro="" textlink="">
      <xdr:nvSpPr>
        <xdr:cNvPr id="22" name="Textfeld 21">
          <a:extLst>
            <a:ext uri="{FF2B5EF4-FFF2-40B4-BE49-F238E27FC236}">
              <a16:creationId xmlns:a16="http://schemas.microsoft.com/office/drawing/2014/main" id="{0BCCF654-82BF-4433-A185-C992A0F8F249}"/>
            </a:ext>
          </a:extLst>
        </xdr:cNvPr>
        <xdr:cNvSpPr txBox="1"/>
      </xdr:nvSpPr>
      <xdr:spPr>
        <a:xfrm>
          <a:off x="2549037" y="4874602"/>
          <a:ext cx="419100" cy="33147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G</a:t>
          </a:r>
          <a:endParaRPr lang="de-DE" sz="1800"/>
        </a:p>
      </xdr:txBody>
    </xdr:sp>
    <xdr:clientData/>
  </xdr:twoCellAnchor>
  <xdr:twoCellAnchor>
    <xdr:from>
      <xdr:col>13</xdr:col>
      <xdr:colOff>390525</xdr:colOff>
      <xdr:row>21</xdr:row>
      <xdr:rowOff>161925</xdr:rowOff>
    </xdr:from>
    <xdr:to>
      <xdr:col>14</xdr:col>
      <xdr:colOff>123825</xdr:colOff>
      <xdr:row>21</xdr:row>
      <xdr:rowOff>171450</xdr:rowOff>
    </xdr:to>
    <xdr:cxnSp macro="">
      <xdr:nvCxnSpPr>
        <xdr:cNvPr id="23" name="Gerader Verbinder 22">
          <a:extLst>
            <a:ext uri="{FF2B5EF4-FFF2-40B4-BE49-F238E27FC236}">
              <a16:creationId xmlns:a16="http://schemas.microsoft.com/office/drawing/2014/main" id="{6B29E5CA-12DD-43AF-B501-127FB55AF18C}"/>
            </a:ext>
          </a:extLst>
        </xdr:cNvPr>
        <xdr:cNvCxnSpPr/>
      </xdr:nvCxnSpPr>
      <xdr:spPr>
        <a:xfrm>
          <a:off x="3438525" y="3590925"/>
          <a:ext cx="495300" cy="9525"/>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24</xdr:row>
      <xdr:rowOff>154598</xdr:rowOff>
    </xdr:from>
    <xdr:to>
      <xdr:col>7</xdr:col>
      <xdr:colOff>447675</xdr:colOff>
      <xdr:row>24</xdr:row>
      <xdr:rowOff>154598</xdr:rowOff>
    </xdr:to>
    <xdr:cxnSp macro="">
      <xdr:nvCxnSpPr>
        <xdr:cNvPr id="24" name="Gerader Verbinder 23">
          <a:extLst>
            <a:ext uri="{FF2B5EF4-FFF2-40B4-BE49-F238E27FC236}">
              <a16:creationId xmlns:a16="http://schemas.microsoft.com/office/drawing/2014/main" id="{4A8F362B-A5E4-4D51-B3E7-283B6DBDB10B}"/>
            </a:ext>
          </a:extLst>
        </xdr:cNvPr>
        <xdr:cNvCxnSpPr/>
      </xdr:nvCxnSpPr>
      <xdr:spPr>
        <a:xfrm>
          <a:off x="1271953" y="4155098"/>
          <a:ext cx="4670914"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754799</xdr:colOff>
      <xdr:row>22</xdr:row>
      <xdr:rowOff>67503</xdr:rowOff>
    </xdr:from>
    <xdr:to>
      <xdr:col>4</xdr:col>
      <xdr:colOff>275238</xdr:colOff>
      <xdr:row>24</xdr:row>
      <xdr:rowOff>19877</xdr:rowOff>
    </xdr:to>
    <xdr:sp macro="" textlink="">
      <xdr:nvSpPr>
        <xdr:cNvPr id="25" name="Textfeld 24">
          <a:extLst>
            <a:ext uri="{FF2B5EF4-FFF2-40B4-BE49-F238E27FC236}">
              <a16:creationId xmlns:a16="http://schemas.microsoft.com/office/drawing/2014/main" id="{91657104-F065-4E68-BCBD-5C93AD52D6B1}"/>
            </a:ext>
          </a:extLst>
        </xdr:cNvPr>
        <xdr:cNvSpPr txBox="1"/>
      </xdr:nvSpPr>
      <xdr:spPr>
        <a:xfrm>
          <a:off x="3802799" y="3687003"/>
          <a:ext cx="282439"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h</a:t>
          </a:r>
          <a:r>
            <a:rPr lang="de-DE" sz="1800" baseline="-25000"/>
            <a:t>S</a:t>
          </a:r>
          <a:endParaRPr lang="de-DE" sz="1800"/>
        </a:p>
      </xdr:txBody>
    </xdr:sp>
    <xdr:clientData/>
  </xdr:twoCellAnchor>
  <xdr:twoCellAnchor>
    <xdr:from>
      <xdr:col>2</xdr:col>
      <xdr:colOff>498231</xdr:colOff>
      <xdr:row>21</xdr:row>
      <xdr:rowOff>186677</xdr:rowOff>
    </xdr:from>
    <xdr:to>
      <xdr:col>3</xdr:col>
      <xdr:colOff>734923</xdr:colOff>
      <xdr:row>22</xdr:row>
      <xdr:rowOff>0</xdr:rowOff>
    </xdr:to>
    <xdr:cxnSp macro="">
      <xdr:nvCxnSpPr>
        <xdr:cNvPr id="26" name="Gerader Verbinder 25">
          <a:extLst>
            <a:ext uri="{FF2B5EF4-FFF2-40B4-BE49-F238E27FC236}">
              <a16:creationId xmlns:a16="http://schemas.microsoft.com/office/drawing/2014/main" id="{E4948E68-EA35-4637-807B-7F0174CBC6B6}"/>
            </a:ext>
          </a:extLst>
        </xdr:cNvPr>
        <xdr:cNvCxnSpPr/>
      </xdr:nvCxnSpPr>
      <xdr:spPr>
        <a:xfrm flipV="1">
          <a:off x="2784231" y="3615677"/>
          <a:ext cx="998692" cy="3823"/>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165237</xdr:colOff>
      <xdr:row>21</xdr:row>
      <xdr:rowOff>181310</xdr:rowOff>
    </xdr:from>
    <xdr:to>
      <xdr:col>2</xdr:col>
      <xdr:colOff>439615</xdr:colOff>
      <xdr:row>21</xdr:row>
      <xdr:rowOff>183173</xdr:rowOff>
    </xdr:to>
    <xdr:cxnSp macro="">
      <xdr:nvCxnSpPr>
        <xdr:cNvPr id="27" name="Gerade Verbindung mit Pfeil 26">
          <a:extLst>
            <a:ext uri="{FF2B5EF4-FFF2-40B4-BE49-F238E27FC236}">
              <a16:creationId xmlns:a16="http://schemas.microsoft.com/office/drawing/2014/main" id="{BCDFE83A-592F-4967-920F-AF9638B74551}"/>
            </a:ext>
          </a:extLst>
        </xdr:cNvPr>
        <xdr:cNvCxnSpPr>
          <a:endCxn id="28" idx="3"/>
        </xdr:cNvCxnSpPr>
      </xdr:nvCxnSpPr>
      <xdr:spPr>
        <a:xfrm flipH="1" flipV="1">
          <a:off x="927237" y="3610310"/>
          <a:ext cx="1036378" cy="1863"/>
        </a:xfrm>
        <a:prstGeom prst="straightConnector1">
          <a:avLst/>
        </a:prstGeom>
        <a:ln w="349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666750</xdr:colOff>
      <xdr:row>21</xdr:row>
      <xdr:rowOff>14623</xdr:rowOff>
    </xdr:from>
    <xdr:to>
      <xdr:col>1</xdr:col>
      <xdr:colOff>165237</xdr:colOff>
      <xdr:row>22</xdr:row>
      <xdr:rowOff>157497</xdr:rowOff>
    </xdr:to>
    <xdr:sp macro="" textlink="">
      <xdr:nvSpPr>
        <xdr:cNvPr id="28" name="Textfeld 27">
          <a:extLst>
            <a:ext uri="{FF2B5EF4-FFF2-40B4-BE49-F238E27FC236}">
              <a16:creationId xmlns:a16="http://schemas.microsoft.com/office/drawing/2014/main" id="{1E116003-AB6E-4CEA-A135-4AC0EE042F4D}"/>
            </a:ext>
          </a:extLst>
        </xdr:cNvPr>
        <xdr:cNvSpPr txBox="1"/>
      </xdr:nvSpPr>
      <xdr:spPr>
        <a:xfrm>
          <a:off x="666750" y="3443623"/>
          <a:ext cx="260487" cy="33337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B</a:t>
          </a:r>
          <a:endParaRPr lang="de-DE" sz="1800"/>
        </a:p>
      </xdr:txBody>
    </xdr:sp>
    <xdr:clientData/>
  </xdr:twoCellAnchor>
  <xdr:twoCellAnchor>
    <xdr:from>
      <xdr:col>0</xdr:col>
      <xdr:colOff>675989</xdr:colOff>
      <xdr:row>14</xdr:row>
      <xdr:rowOff>168520</xdr:rowOff>
    </xdr:from>
    <xdr:to>
      <xdr:col>1</xdr:col>
      <xdr:colOff>493772</xdr:colOff>
      <xdr:row>16</xdr:row>
      <xdr:rowOff>101940</xdr:rowOff>
    </xdr:to>
    <xdr:sp macro="" textlink="">
      <xdr:nvSpPr>
        <xdr:cNvPr id="30" name="Pfeil: nach unten gekrümmt 29">
          <a:extLst>
            <a:ext uri="{FF2B5EF4-FFF2-40B4-BE49-F238E27FC236}">
              <a16:creationId xmlns:a16="http://schemas.microsoft.com/office/drawing/2014/main" id="{F935A570-6EC5-4169-9C85-C96309F6F83C}"/>
            </a:ext>
          </a:extLst>
        </xdr:cNvPr>
        <xdr:cNvSpPr/>
      </xdr:nvSpPr>
      <xdr:spPr>
        <a:xfrm>
          <a:off x="675989" y="3194539"/>
          <a:ext cx="579783" cy="314420"/>
        </a:xfrm>
        <a:prstGeom prst="curved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solidFill>
              <a:schemeClr val="tx1"/>
            </a:solidFill>
          </a:endParaRPr>
        </a:p>
      </xdr:txBody>
    </xdr:sp>
    <xdr:clientData/>
  </xdr:twoCellAnchor>
  <xdr:twoCellAnchor>
    <xdr:from>
      <xdr:col>1</xdr:col>
      <xdr:colOff>86447</xdr:colOff>
      <xdr:row>15</xdr:row>
      <xdr:rowOff>118507</xdr:rowOff>
    </xdr:from>
    <xdr:to>
      <xdr:col>1</xdr:col>
      <xdr:colOff>258015</xdr:colOff>
      <xdr:row>16</xdr:row>
      <xdr:rowOff>94989</xdr:rowOff>
    </xdr:to>
    <xdr:sp macro="" textlink="">
      <xdr:nvSpPr>
        <xdr:cNvPr id="31" name="Kreuz 30">
          <a:extLst>
            <a:ext uri="{FF2B5EF4-FFF2-40B4-BE49-F238E27FC236}">
              <a16:creationId xmlns:a16="http://schemas.microsoft.com/office/drawing/2014/main" id="{39AC24B3-A898-4765-9D18-BFF5D1438F05}"/>
            </a:ext>
          </a:extLst>
        </xdr:cNvPr>
        <xdr:cNvSpPr/>
      </xdr:nvSpPr>
      <xdr:spPr>
        <a:xfrm>
          <a:off x="848447" y="3335026"/>
          <a:ext cx="171568" cy="166982"/>
        </a:xfrm>
        <a:prstGeom prst="plus">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oneCellAnchor>
    <xdr:from>
      <xdr:col>2</xdr:col>
      <xdr:colOff>11722</xdr:colOff>
      <xdr:row>43</xdr:row>
      <xdr:rowOff>187569</xdr:rowOff>
    </xdr:from>
    <xdr:ext cx="698333" cy="172227"/>
    <mc:AlternateContent xmlns:mc="http://schemas.openxmlformats.org/markup-compatibility/2006" xmlns:a14="http://schemas.microsoft.com/office/drawing/2010/main">
      <mc:Choice Requires="a14">
        <xdr:sp macro="" textlink="">
          <xdr:nvSpPr>
            <xdr:cNvPr id="40" name="Textfeld 39">
              <a:extLst>
                <a:ext uri="{FF2B5EF4-FFF2-40B4-BE49-F238E27FC236}">
                  <a16:creationId xmlns:a16="http://schemas.microsoft.com/office/drawing/2014/main" id="{F17D4807-6B1E-4C2E-BFC3-1C40FF6B340A}"/>
                </a:ext>
              </a:extLst>
            </xdr:cNvPr>
            <xdr:cNvSpPr txBox="1"/>
          </xdr:nvSpPr>
          <xdr:spPr>
            <a:xfrm>
              <a:off x="1535722" y="8540261"/>
              <a:ext cx="6983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𝐵</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𝑎</m:t>
                    </m:r>
                  </m:oMath>
                </m:oMathPara>
              </a14:m>
              <a:endParaRPr lang="de-DE" sz="1100"/>
            </a:p>
          </xdr:txBody>
        </xdr:sp>
      </mc:Choice>
      <mc:Fallback xmlns="">
        <xdr:sp macro="" textlink="">
          <xdr:nvSpPr>
            <xdr:cNvPr id="40" name="Textfeld 39">
              <a:extLst>
                <a:ext uri="{FF2B5EF4-FFF2-40B4-BE49-F238E27FC236}">
                  <a16:creationId xmlns:a16="http://schemas.microsoft.com/office/drawing/2014/main" id="{F17D4807-6B1E-4C2E-BFC3-1C40FF6B340A}"/>
                </a:ext>
              </a:extLst>
            </xdr:cNvPr>
            <xdr:cNvSpPr txBox="1"/>
          </xdr:nvSpPr>
          <xdr:spPr>
            <a:xfrm>
              <a:off x="1535722" y="8540261"/>
              <a:ext cx="6983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𝐹_𝐵=𝑚∗𝑎</a:t>
              </a:r>
              <a:endParaRPr lang="de-DE" sz="1100"/>
            </a:p>
          </xdr:txBody>
        </xdr:sp>
      </mc:Fallback>
    </mc:AlternateContent>
    <xdr:clientData/>
  </xdr:oneCellAnchor>
  <xdr:twoCellAnchor>
    <xdr:from>
      <xdr:col>2</xdr:col>
      <xdr:colOff>476250</xdr:colOff>
      <xdr:row>21</xdr:row>
      <xdr:rowOff>183173</xdr:rowOff>
    </xdr:from>
    <xdr:to>
      <xdr:col>2</xdr:col>
      <xdr:colOff>476250</xdr:colOff>
      <xdr:row>24</xdr:row>
      <xdr:rowOff>7327</xdr:rowOff>
    </xdr:to>
    <xdr:cxnSp macro="">
      <xdr:nvCxnSpPr>
        <xdr:cNvPr id="59" name="Gerader Verbinder 58">
          <a:extLst>
            <a:ext uri="{FF2B5EF4-FFF2-40B4-BE49-F238E27FC236}">
              <a16:creationId xmlns:a16="http://schemas.microsoft.com/office/drawing/2014/main" id="{A2B7A4A5-8514-6CAF-557B-BD91D75F3E71}"/>
            </a:ext>
          </a:extLst>
        </xdr:cNvPr>
        <xdr:cNvCxnSpPr/>
      </xdr:nvCxnSpPr>
      <xdr:spPr>
        <a:xfrm flipV="1">
          <a:off x="2762250" y="3612173"/>
          <a:ext cx="0" cy="395654"/>
        </a:xfrm>
        <a:prstGeom prst="line">
          <a:avLst/>
        </a:prstGeom>
        <a:ln w="22225">
          <a:solidFill>
            <a:schemeClr val="bg1"/>
          </a:solidFill>
          <a:headEnd type="none"/>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446942</xdr:colOff>
      <xdr:row>21</xdr:row>
      <xdr:rowOff>183173</xdr:rowOff>
    </xdr:from>
    <xdr:to>
      <xdr:col>3</xdr:col>
      <xdr:colOff>506323</xdr:colOff>
      <xdr:row>21</xdr:row>
      <xdr:rowOff>185212</xdr:rowOff>
    </xdr:to>
    <xdr:cxnSp macro="">
      <xdr:nvCxnSpPr>
        <xdr:cNvPr id="61" name="Gerader Verbinder 60">
          <a:extLst>
            <a:ext uri="{FF2B5EF4-FFF2-40B4-BE49-F238E27FC236}">
              <a16:creationId xmlns:a16="http://schemas.microsoft.com/office/drawing/2014/main" id="{8C967CAE-72A4-49FA-9C55-16D8DFB580FC}"/>
            </a:ext>
          </a:extLst>
        </xdr:cNvPr>
        <xdr:cNvCxnSpPr/>
      </xdr:nvCxnSpPr>
      <xdr:spPr>
        <a:xfrm>
          <a:off x="2732942" y="3612173"/>
          <a:ext cx="821381" cy="2039"/>
        </a:xfrm>
        <a:prstGeom prst="line">
          <a:avLst/>
        </a:prstGeom>
        <a:ln w="3492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168518</xdr:colOff>
      <xdr:row>34</xdr:row>
      <xdr:rowOff>36635</xdr:rowOff>
    </xdr:from>
    <xdr:ext cx="3018693" cy="404813"/>
    <mc:AlternateContent xmlns:mc="http://schemas.openxmlformats.org/markup-compatibility/2006" xmlns:a14="http://schemas.microsoft.com/office/drawing/2010/main">
      <mc:Choice Requires="a14">
        <xdr:sp macro="" textlink="">
          <xdr:nvSpPr>
            <xdr:cNvPr id="74" name="Textfeld 73">
              <a:extLst>
                <a:ext uri="{FF2B5EF4-FFF2-40B4-BE49-F238E27FC236}">
                  <a16:creationId xmlns:a16="http://schemas.microsoft.com/office/drawing/2014/main" id="{7851A15C-3418-44C3-B429-27B0826325F3}"/>
                </a:ext>
              </a:extLst>
            </xdr:cNvPr>
            <xdr:cNvSpPr txBox="1"/>
          </xdr:nvSpPr>
          <xdr:spPr>
            <a:xfrm>
              <a:off x="930518" y="6887308"/>
              <a:ext cx="3018693"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nary>
                      <m:naryPr>
                        <m:chr m:val="∑"/>
                        <m:subHide m:val="on"/>
                        <m:supHide m:val="on"/>
                        <m:ctrlPr>
                          <a:rPr lang="de-DE" sz="1100" i="1">
                            <a:solidFill>
                              <a:schemeClr val="tx1"/>
                            </a:solidFill>
                            <a:effectLst/>
                            <a:latin typeface="Cambria Math" panose="02040503050406030204" pitchFamily="18" charset="0"/>
                            <a:ea typeface="+mn-ea"/>
                            <a:cs typeface="+mn-cs"/>
                          </a:rPr>
                        </m:ctrlPr>
                      </m:naryPr>
                      <m:sub/>
                      <m:sup/>
                      <m:e>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𝑀</m:t>
                            </m:r>
                          </m:e>
                          <m:sub>
                            <m:r>
                              <a:rPr lang="de-DE" sz="1100" b="0" i="1">
                                <a:solidFill>
                                  <a:schemeClr val="tx1"/>
                                </a:solidFill>
                                <a:effectLst/>
                                <a:latin typeface="Cambria Math" panose="02040503050406030204" pitchFamily="18" charset="0"/>
                                <a:ea typeface="+mn-ea"/>
                                <a:cs typeface="+mn-cs"/>
                              </a:rPr>
                              <m:t>h</m:t>
                            </m:r>
                          </m:sub>
                        </m:sSub>
                        <m:r>
                          <a:rPr lang="de-DE" sz="1100" b="0" i="1">
                            <a:solidFill>
                              <a:schemeClr val="tx1"/>
                            </a:solidFill>
                            <a:effectLst/>
                            <a:latin typeface="Cambria Math" panose="02040503050406030204" pitchFamily="18" charset="0"/>
                            <a:ea typeface="+mn-ea"/>
                            <a:cs typeface="+mn-cs"/>
                          </a:rPr>
                          <m:t>=0=</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𝐺</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𝑙</m:t>
                            </m:r>
                          </m:e>
                          <m:sub>
                            <m:r>
                              <a:rPr lang="de-DE" sz="1100" b="0" i="1">
                                <a:solidFill>
                                  <a:schemeClr val="tx1"/>
                                </a:solidFill>
                                <a:effectLst/>
                                <a:latin typeface="Cambria Math" panose="02040503050406030204" pitchFamily="18" charset="0"/>
                                <a:ea typeface="+mn-ea"/>
                                <a:cs typeface="+mn-cs"/>
                              </a:rPr>
                              <m:t>h</m:t>
                            </m:r>
                          </m:sub>
                        </m:sSub>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𝑆</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𝐿𝑊</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𝐿𝑊</m:t>
                            </m:r>
                          </m:sub>
                        </m:sSub>
                      </m:e>
                    </m:nary>
                  </m:oMath>
                </m:oMathPara>
              </a14:m>
              <a:endParaRPr lang="de-DE" sz="1100"/>
            </a:p>
          </xdr:txBody>
        </xdr:sp>
      </mc:Choice>
      <mc:Fallback xmlns="">
        <xdr:sp macro="" textlink="">
          <xdr:nvSpPr>
            <xdr:cNvPr id="74" name="Textfeld 73">
              <a:extLst>
                <a:ext uri="{FF2B5EF4-FFF2-40B4-BE49-F238E27FC236}">
                  <a16:creationId xmlns:a16="http://schemas.microsoft.com/office/drawing/2014/main" id="{7851A15C-3418-44C3-B429-27B0826325F3}"/>
                </a:ext>
              </a:extLst>
            </xdr:cNvPr>
            <xdr:cNvSpPr txBox="1"/>
          </xdr:nvSpPr>
          <xdr:spPr>
            <a:xfrm>
              <a:off x="930518" y="6887308"/>
              <a:ext cx="3018693"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100" i="0">
                  <a:solidFill>
                    <a:schemeClr val="tx1"/>
                  </a:solidFill>
                  <a:effectLst/>
                  <a:latin typeface="Cambria Math" panose="02040503050406030204" pitchFamily="18" charset="0"/>
                  <a:ea typeface="+mn-ea"/>
                  <a:cs typeface="+mn-cs"/>
                </a:rPr>
                <a:t>∑▒〖</a:t>
              </a:r>
              <a:r>
                <a:rPr lang="de-DE" sz="1100" b="0" i="0">
                  <a:solidFill>
                    <a:schemeClr val="tx1"/>
                  </a:solidFill>
                  <a:effectLst/>
                  <a:latin typeface="+mn-lt"/>
                  <a:ea typeface="+mn-ea"/>
                  <a:cs typeface="+mn-cs"/>
                </a:rPr>
                <a:t>𝑀_ℎ=0=𝐹_𝐺∗𝑙_ℎ− 𝐹_𝐵∗ℎ_𝑆−𝐹_𝐿𝑊∗ℎ_𝐿𝑊</a:t>
              </a:r>
              <a:r>
                <a:rPr lang="de-DE" sz="1100" b="0" i="0">
                  <a:solidFill>
                    <a:schemeClr val="tx1"/>
                  </a:solidFill>
                  <a:effectLst/>
                  <a:latin typeface="Cambria Math" panose="02040503050406030204" pitchFamily="18" charset="0"/>
                  <a:ea typeface="+mn-ea"/>
                  <a:cs typeface="+mn-cs"/>
                </a:rPr>
                <a:t> 〗</a:t>
              </a:r>
              <a:endParaRPr lang="de-DE" sz="1100"/>
            </a:p>
          </xdr:txBody>
        </xdr:sp>
      </mc:Fallback>
    </mc:AlternateContent>
    <xdr:clientData/>
  </xdr:oneCellAnchor>
  <xdr:oneCellAnchor>
    <xdr:from>
      <xdr:col>0</xdr:col>
      <xdr:colOff>161193</xdr:colOff>
      <xdr:row>37</xdr:row>
      <xdr:rowOff>137746</xdr:rowOff>
    </xdr:from>
    <xdr:ext cx="2051538" cy="243254"/>
    <mc:AlternateContent xmlns:mc="http://schemas.openxmlformats.org/markup-compatibility/2006" xmlns:a14="http://schemas.microsoft.com/office/drawing/2010/main">
      <mc:Choice Requires="a14">
        <xdr:sp macro="" textlink="">
          <xdr:nvSpPr>
            <xdr:cNvPr id="76" name="Textfeld 75">
              <a:extLst>
                <a:ext uri="{FF2B5EF4-FFF2-40B4-BE49-F238E27FC236}">
                  <a16:creationId xmlns:a16="http://schemas.microsoft.com/office/drawing/2014/main" id="{61160EF2-F778-4691-B115-6E3F4760727E}"/>
                </a:ext>
              </a:extLst>
            </xdr:cNvPr>
            <xdr:cNvSpPr txBox="1"/>
          </xdr:nvSpPr>
          <xdr:spPr>
            <a:xfrm>
              <a:off x="161193" y="7237534"/>
              <a:ext cx="2051538" cy="243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𝑆</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𝐺</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𝑙</m:t>
                        </m:r>
                      </m:e>
                      <m:sub>
                        <m:r>
                          <a:rPr lang="de-DE" sz="1100" b="0" i="1">
                            <a:solidFill>
                              <a:schemeClr val="tx1"/>
                            </a:solidFill>
                            <a:effectLst/>
                            <a:latin typeface="Cambria Math" panose="02040503050406030204" pitchFamily="18" charset="0"/>
                            <a:ea typeface="+mn-ea"/>
                            <a:cs typeface="+mn-cs"/>
                          </a:rPr>
                          <m:t>h</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𝐿𝑊</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𝐿𝑊</m:t>
                        </m:r>
                      </m:sub>
                    </m:sSub>
                  </m:oMath>
                </m:oMathPara>
              </a14:m>
              <a:endParaRPr lang="de-DE" sz="1100"/>
            </a:p>
          </xdr:txBody>
        </xdr:sp>
      </mc:Choice>
      <mc:Fallback xmlns="">
        <xdr:sp macro="" textlink="">
          <xdr:nvSpPr>
            <xdr:cNvPr id="76" name="Textfeld 75">
              <a:extLst>
                <a:ext uri="{FF2B5EF4-FFF2-40B4-BE49-F238E27FC236}">
                  <a16:creationId xmlns:a16="http://schemas.microsoft.com/office/drawing/2014/main" id="{61160EF2-F778-4691-B115-6E3F4760727E}"/>
                </a:ext>
              </a:extLst>
            </xdr:cNvPr>
            <xdr:cNvSpPr txBox="1"/>
          </xdr:nvSpPr>
          <xdr:spPr>
            <a:xfrm>
              <a:off x="161193" y="7237534"/>
              <a:ext cx="2051538" cy="243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100" b="0" i="0">
                  <a:solidFill>
                    <a:schemeClr val="tx1"/>
                  </a:solidFill>
                  <a:effectLst/>
                  <a:latin typeface="+mn-lt"/>
                  <a:ea typeface="+mn-ea"/>
                  <a:cs typeface="+mn-cs"/>
                </a:rPr>
                <a:t> 𝐹_𝐵∗ℎ_𝑆</a:t>
              </a:r>
              <a:r>
                <a:rPr lang="de-DE" sz="1100" b="0" i="0">
                  <a:latin typeface="Cambria Math" panose="02040503050406030204" pitchFamily="18" charset="0"/>
                </a:rPr>
                <a:t>=</a:t>
              </a:r>
              <a:r>
                <a:rPr lang="de-DE" sz="1100" b="0" i="0">
                  <a:solidFill>
                    <a:schemeClr val="tx1"/>
                  </a:solidFill>
                  <a:effectLst/>
                  <a:latin typeface="+mn-lt"/>
                  <a:ea typeface="+mn-ea"/>
                  <a:cs typeface="+mn-cs"/>
                </a:rPr>
                <a:t>𝐹_𝐺∗𝑙_ℎ−𝐹_𝐿𝑊∗ℎ_𝐿𝑊</a:t>
              </a:r>
              <a:endParaRPr lang="de-DE" sz="1100"/>
            </a:p>
          </xdr:txBody>
        </xdr:sp>
      </mc:Fallback>
    </mc:AlternateContent>
    <xdr:clientData/>
  </xdr:oneCellAnchor>
  <xdr:oneCellAnchor>
    <xdr:from>
      <xdr:col>3</xdr:col>
      <xdr:colOff>143608</xdr:colOff>
      <xdr:row>37</xdr:row>
      <xdr:rowOff>77667</xdr:rowOff>
    </xdr:from>
    <xdr:ext cx="1937239" cy="420565"/>
    <mc:AlternateContent xmlns:mc="http://schemas.openxmlformats.org/markup-compatibility/2006" xmlns:a14="http://schemas.microsoft.com/office/drawing/2010/main">
      <mc:Choice Requires="a14">
        <xdr:sp macro="" textlink="">
          <xdr:nvSpPr>
            <xdr:cNvPr id="77" name="Textfeld 76">
              <a:extLst>
                <a:ext uri="{FF2B5EF4-FFF2-40B4-BE49-F238E27FC236}">
                  <a16:creationId xmlns:a16="http://schemas.microsoft.com/office/drawing/2014/main" id="{D0627BDA-B942-41C5-BE7A-2DC32D293633}"/>
                </a:ext>
              </a:extLst>
            </xdr:cNvPr>
            <xdr:cNvSpPr txBox="1"/>
          </xdr:nvSpPr>
          <xdr:spPr>
            <a:xfrm>
              <a:off x="2429608" y="7177455"/>
              <a:ext cx="1937239" cy="420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r>
                      <a:rPr lang="de-DE" sz="1100" b="0" i="1">
                        <a:solidFill>
                          <a:schemeClr val="tx1"/>
                        </a:solidFill>
                        <a:effectLst/>
                        <a:latin typeface="Cambria Math" panose="02040503050406030204" pitchFamily="18" charset="0"/>
                        <a:ea typeface="+mn-ea"/>
                        <a:cs typeface="+mn-cs"/>
                      </a:rPr>
                      <m:t>=</m:t>
                    </m:r>
                    <m:f>
                      <m:fPr>
                        <m:ctrlPr>
                          <a:rPr lang="de-DE" sz="1100" i="1">
                            <a:latin typeface="Cambria Math" panose="02040503050406030204" pitchFamily="18" charset="0"/>
                          </a:rPr>
                        </m:ctrlPr>
                      </m:fPr>
                      <m:num>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𝐺</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𝑙</m:t>
                            </m:r>
                          </m:e>
                          <m:sub>
                            <m:r>
                              <a:rPr lang="de-DE" sz="1100" b="0" i="1">
                                <a:solidFill>
                                  <a:schemeClr val="tx1"/>
                                </a:solidFill>
                                <a:effectLst/>
                                <a:latin typeface="Cambria Math" panose="02040503050406030204" pitchFamily="18" charset="0"/>
                                <a:ea typeface="+mn-ea"/>
                                <a:cs typeface="+mn-cs"/>
                              </a:rPr>
                              <m:t>h</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𝐿𝑊</m:t>
                            </m:r>
                          </m:sub>
                        </m:sSub>
                        <m:r>
                          <m:rPr>
                            <m:nor/>
                          </m:rPr>
                          <a:rPr lang="de-DE" sz="1100" b="0" i="0">
                            <a:solidFill>
                              <a:schemeClr val="tx1"/>
                            </a:solidFill>
                            <a:effectLst/>
                            <a:latin typeface="+mn-lt"/>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𝐿𝑊</m:t>
                            </m:r>
                          </m:sub>
                        </m:sSub>
                      </m:num>
                      <m:den>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𝑆</m:t>
                            </m:r>
                          </m:sub>
                        </m:sSub>
                      </m:den>
                    </m:f>
                  </m:oMath>
                </m:oMathPara>
              </a14:m>
              <a:endParaRPr lang="de-DE" sz="1100"/>
            </a:p>
          </xdr:txBody>
        </xdr:sp>
      </mc:Choice>
      <mc:Fallback xmlns="">
        <xdr:sp macro="" textlink="">
          <xdr:nvSpPr>
            <xdr:cNvPr id="77" name="Textfeld 76">
              <a:extLst>
                <a:ext uri="{FF2B5EF4-FFF2-40B4-BE49-F238E27FC236}">
                  <a16:creationId xmlns:a16="http://schemas.microsoft.com/office/drawing/2014/main" id="{D0627BDA-B942-41C5-BE7A-2DC32D293633}"/>
                </a:ext>
              </a:extLst>
            </xdr:cNvPr>
            <xdr:cNvSpPr txBox="1"/>
          </xdr:nvSpPr>
          <xdr:spPr>
            <a:xfrm>
              <a:off x="2429608" y="7177455"/>
              <a:ext cx="1937239" cy="420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100" b="0" i="0">
                  <a:solidFill>
                    <a:schemeClr val="tx1"/>
                  </a:solidFill>
                  <a:effectLst/>
                  <a:latin typeface="+mn-lt"/>
                  <a:ea typeface="+mn-ea"/>
                  <a:cs typeface="+mn-cs"/>
                </a:rPr>
                <a:t> 𝐹_𝐵</a:t>
              </a:r>
              <a:r>
                <a:rPr lang="de-DE" sz="1100" b="0" i="0">
                  <a:solidFill>
                    <a:schemeClr val="tx1"/>
                  </a:solidFill>
                  <a:effectLst/>
                  <a:latin typeface="Cambria Math" panose="02040503050406030204" pitchFamily="18" charset="0"/>
                  <a:ea typeface="+mn-ea"/>
                  <a:cs typeface="+mn-cs"/>
                </a:rPr>
                <a:t>=</a:t>
              </a:r>
              <a:r>
                <a:rPr lang="de-DE" sz="1100" i="0">
                  <a:latin typeface="Cambria Math" panose="02040503050406030204" pitchFamily="18" charset="0"/>
                </a:rPr>
                <a:t>(</a:t>
              </a:r>
              <a:r>
                <a:rPr lang="de-DE" sz="1100" b="0" i="0">
                  <a:solidFill>
                    <a:schemeClr val="tx1"/>
                  </a:solidFill>
                  <a:effectLst/>
                  <a:latin typeface="+mn-lt"/>
                  <a:ea typeface="+mn-ea"/>
                  <a:cs typeface="+mn-cs"/>
                </a:rPr>
                <a:t>𝐹_𝐺∗𝑙_ℎ−𝐹_𝐿𝑊 "∗" ℎ_𝐿𝑊</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mn-lt"/>
                  <a:ea typeface="+mn-ea"/>
                  <a:cs typeface="+mn-cs"/>
                </a:rPr>
                <a:t>ℎ_𝑆</a:t>
              </a:r>
              <a:r>
                <a:rPr lang="de-DE" sz="1100" b="0" i="0">
                  <a:solidFill>
                    <a:schemeClr val="tx1"/>
                  </a:solidFill>
                  <a:effectLst/>
                  <a:latin typeface="Cambria Math" panose="02040503050406030204" pitchFamily="18" charset="0"/>
                  <a:ea typeface="+mn-ea"/>
                  <a:cs typeface="+mn-cs"/>
                </a:rPr>
                <a:t> </a:t>
              </a:r>
              <a:endParaRPr lang="de-DE" sz="1100"/>
            </a:p>
          </xdr:txBody>
        </xdr:sp>
      </mc:Fallback>
    </mc:AlternateContent>
    <xdr:clientData/>
  </xdr:oneCellAnchor>
  <xdr:oneCellAnchor>
    <xdr:from>
      <xdr:col>4</xdr:col>
      <xdr:colOff>90853</xdr:colOff>
      <xdr:row>43</xdr:row>
      <xdr:rowOff>98180</xdr:rowOff>
    </xdr:from>
    <xdr:ext cx="444609" cy="316882"/>
    <mc:AlternateContent xmlns:mc="http://schemas.openxmlformats.org/markup-compatibility/2006" xmlns:a14="http://schemas.microsoft.com/office/drawing/2010/main">
      <mc:Choice Requires="a14">
        <xdr:sp macro="" textlink="">
          <xdr:nvSpPr>
            <xdr:cNvPr id="78" name="Textfeld 77">
              <a:extLst>
                <a:ext uri="{FF2B5EF4-FFF2-40B4-BE49-F238E27FC236}">
                  <a16:creationId xmlns:a16="http://schemas.microsoft.com/office/drawing/2014/main" id="{DCBE16C0-8D6D-4B2B-A060-D0F674EE7B97}"/>
                </a:ext>
              </a:extLst>
            </xdr:cNvPr>
            <xdr:cNvSpPr txBox="1"/>
          </xdr:nvSpPr>
          <xdr:spPr>
            <a:xfrm>
              <a:off x="3138853" y="8450872"/>
              <a:ext cx="444609"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solidFill>
                          <a:schemeClr val="tx1"/>
                        </a:solidFill>
                        <a:effectLst/>
                        <a:latin typeface="Cambria Math" panose="02040503050406030204" pitchFamily="18" charset="0"/>
                        <a:ea typeface="+mn-ea"/>
                        <a:cs typeface="+mn-cs"/>
                      </a:rPr>
                      <m:t>𝑎</m:t>
                    </m:r>
                    <m:r>
                      <a:rPr lang="de-DE" sz="1100" b="0" i="1">
                        <a:solidFill>
                          <a:schemeClr val="tx1"/>
                        </a:solidFill>
                        <a:effectLst/>
                        <a:latin typeface="Cambria Math" panose="02040503050406030204" pitchFamily="18" charset="0"/>
                        <a:ea typeface="+mn-ea"/>
                        <a:cs typeface="+mn-cs"/>
                      </a:rPr>
                      <m:t>=</m:t>
                    </m:r>
                    <m:f>
                      <m:fPr>
                        <m:ctrlPr>
                          <a:rPr lang="de-DE" sz="1100" b="0" i="1">
                            <a:latin typeface="Cambria Math" panose="02040503050406030204" pitchFamily="18" charset="0"/>
                          </a:rPr>
                        </m:ctrlPr>
                      </m:fPr>
                      <m:num>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num>
                      <m:den>
                        <m:r>
                          <a:rPr lang="de-DE" sz="1100" b="0" i="1">
                            <a:latin typeface="Cambria Math" panose="02040503050406030204" pitchFamily="18" charset="0"/>
                          </a:rPr>
                          <m:t>𝑚</m:t>
                        </m:r>
                      </m:den>
                    </m:f>
                  </m:oMath>
                </m:oMathPara>
              </a14:m>
              <a:endParaRPr lang="de-DE" sz="1100"/>
            </a:p>
          </xdr:txBody>
        </xdr:sp>
      </mc:Choice>
      <mc:Fallback xmlns="">
        <xdr:sp macro="" textlink="">
          <xdr:nvSpPr>
            <xdr:cNvPr id="78" name="Textfeld 77">
              <a:extLst>
                <a:ext uri="{FF2B5EF4-FFF2-40B4-BE49-F238E27FC236}">
                  <a16:creationId xmlns:a16="http://schemas.microsoft.com/office/drawing/2014/main" id="{DCBE16C0-8D6D-4B2B-A060-D0F674EE7B97}"/>
                </a:ext>
              </a:extLst>
            </xdr:cNvPr>
            <xdr:cNvSpPr txBox="1"/>
          </xdr:nvSpPr>
          <xdr:spPr>
            <a:xfrm>
              <a:off x="3138853" y="8450872"/>
              <a:ext cx="444609"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solidFill>
                    <a:schemeClr val="tx1"/>
                  </a:solidFill>
                  <a:effectLst/>
                  <a:latin typeface="+mn-lt"/>
                  <a:ea typeface="+mn-ea"/>
                  <a:cs typeface="+mn-cs"/>
                </a:rPr>
                <a:t>𝑎</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mn-lt"/>
                  <a:ea typeface="+mn-ea"/>
                  <a:cs typeface="+mn-cs"/>
                </a:rPr>
                <a:t>𝐹_𝐵</a:t>
              </a:r>
              <a:r>
                <a:rPr lang="de-DE" sz="1100" b="0" i="0">
                  <a:solidFill>
                    <a:schemeClr val="tx1"/>
                  </a:solidFill>
                  <a:effectLst/>
                  <a:latin typeface="Cambria Math" panose="02040503050406030204" pitchFamily="18" charset="0"/>
                  <a:ea typeface="+mn-ea"/>
                  <a:cs typeface="+mn-cs"/>
                </a:rPr>
                <a:t>/</a:t>
              </a:r>
              <a:r>
                <a:rPr lang="de-DE" sz="1100" b="0" i="0">
                  <a:latin typeface="Cambria Math" panose="02040503050406030204" pitchFamily="18" charset="0"/>
                </a:rPr>
                <a:t>𝑚</a:t>
              </a:r>
              <a:endParaRPr lang="de-DE"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1</xdr:col>
      <xdr:colOff>60379</xdr:colOff>
      <xdr:row>13</xdr:row>
      <xdr:rowOff>154967</xdr:rowOff>
    </xdr:from>
    <xdr:ext cx="1646285" cy="238976"/>
    <mc:AlternateContent xmlns:mc="http://schemas.openxmlformats.org/markup-compatibility/2006" xmlns:a14="http://schemas.microsoft.com/office/drawing/2010/main">
      <mc:Choice Requires="a14">
        <xdr:sp macro="" textlink="">
          <xdr:nvSpPr>
            <xdr:cNvPr id="2" name="Textfeld 1">
              <a:extLst>
                <a:ext uri="{FF2B5EF4-FFF2-40B4-BE49-F238E27FC236}">
                  <a16:creationId xmlns:a16="http://schemas.microsoft.com/office/drawing/2014/main" id="{57763C08-1C6A-4DEE-B44D-CDF9F3DD04ED}"/>
                </a:ext>
              </a:extLst>
            </xdr:cNvPr>
            <xdr:cNvSpPr txBox="1"/>
          </xdr:nvSpPr>
          <xdr:spPr>
            <a:xfrm>
              <a:off x="822379" y="2717192"/>
              <a:ext cx="1646285" cy="238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𝐿𝑊</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 </m:t>
                      </m:r>
                      <m:r>
                        <a:rPr lang="de-DE" sz="1100" b="0" i="1">
                          <a:solidFill>
                            <a:schemeClr val="tx1"/>
                          </a:solidFill>
                          <a:effectLst/>
                          <a:latin typeface="Cambria Math" panose="02040503050406030204" pitchFamily="18" charset="0"/>
                          <a:ea typeface="Cambria Math" panose="02040503050406030204" pitchFamily="18" charset="0"/>
                          <a:cs typeface="+mn-cs"/>
                        </a:rPr>
                        <m:t>∙</m:t>
                      </m:r>
                      <m:r>
                        <a:rPr lang="de-DE" sz="1100" b="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Cambria Math" panose="02040503050406030204" pitchFamily="18" charset="0"/>
                          <a:cs typeface="+mn-cs"/>
                        </a:rPr>
                        <m:t>𝜌</m:t>
                      </m:r>
                    </m:e>
                    <m:sub>
                      <m:r>
                        <a:rPr lang="de-DE" sz="1100" b="0" i="1">
                          <a:solidFill>
                            <a:schemeClr val="tx1"/>
                          </a:solidFill>
                          <a:effectLst/>
                          <a:latin typeface="Cambria Math" panose="02040503050406030204" pitchFamily="18" charset="0"/>
                          <a:ea typeface="+mn-ea"/>
                          <a:cs typeface="+mn-cs"/>
                        </a:rPr>
                        <m:t>𝐿</m:t>
                      </m:r>
                    </m:sub>
                  </m:sSub>
                  <m:r>
                    <a:rPr lang="de-DE" sz="1100" b="0" i="1">
                      <a:latin typeface="Cambria Math" panose="02040503050406030204" pitchFamily="18" charset="0"/>
                      <a:ea typeface="Cambria Math" panose="02040503050406030204" pitchFamily="18" charset="0"/>
                    </a:rPr>
                    <m:t> ∙ </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𝑐</m:t>
                      </m:r>
                    </m:e>
                    <m:sub>
                      <m:r>
                        <a:rPr lang="de-DE" sz="1100" b="0" i="1">
                          <a:latin typeface="Cambria Math" panose="02040503050406030204" pitchFamily="18" charset="0"/>
                          <a:ea typeface="Cambria Math" panose="02040503050406030204" pitchFamily="18" charset="0"/>
                        </a:rPr>
                        <m:t>𝑤</m:t>
                      </m:r>
                    </m:sub>
                  </m:sSub>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𝐴</m:t>
                  </m:r>
                  <m:r>
                    <a:rPr lang="de-DE" sz="1100" b="0" i="1">
                      <a:latin typeface="Cambria Math" panose="02040503050406030204" pitchFamily="18" charset="0"/>
                      <a:ea typeface="Cambria Math" panose="02040503050406030204" pitchFamily="18" charset="0"/>
                    </a:rPr>
                    <m:t> ∙</m:t>
                  </m:r>
                  <m:sSubSup>
                    <m:sSubSupPr>
                      <m:ctrlPr>
                        <a:rPr lang="de-DE" sz="1100" b="0" i="1">
                          <a:latin typeface="Cambria Math" panose="02040503050406030204" pitchFamily="18" charset="0"/>
                          <a:ea typeface="Cambria Math" panose="02040503050406030204" pitchFamily="18" charset="0"/>
                        </a:rPr>
                      </m:ctrlPr>
                    </m:sSubSupPr>
                    <m:e>
                      <m:r>
                        <a:rPr lang="de-DE" sz="1100" b="0" i="1">
                          <a:latin typeface="Cambria Math" panose="02040503050406030204" pitchFamily="18" charset="0"/>
                          <a:ea typeface="Cambria Math" panose="02040503050406030204" pitchFamily="18" charset="0"/>
                        </a:rPr>
                        <m:t>𝑣</m:t>
                      </m:r>
                    </m:e>
                    <m:sub>
                      <m:r>
                        <a:rPr lang="de-DE" sz="1100" b="0" i="1">
                          <a:latin typeface="Cambria Math" panose="02040503050406030204" pitchFamily="18" charset="0"/>
                          <a:ea typeface="Cambria Math" panose="02040503050406030204" pitchFamily="18" charset="0"/>
                        </a:rPr>
                        <m:t>𝐹</m:t>
                      </m:r>
                    </m:sub>
                    <m:sup>
                      <m:r>
                        <a:rPr lang="de-DE" sz="1100" b="0" i="1">
                          <a:latin typeface="Cambria Math" panose="02040503050406030204" pitchFamily="18" charset="0"/>
                          <a:ea typeface="Cambria Math" panose="02040503050406030204" pitchFamily="18" charset="0"/>
                        </a:rPr>
                        <m:t>2</m:t>
                      </m:r>
                    </m:sup>
                  </m:sSubSup>
                  <m:r>
                    <a:rPr lang="de-DE" sz="1100" b="0" i="1">
                      <a:latin typeface="Cambria Math" panose="02040503050406030204" pitchFamily="18" charset="0"/>
                      <a:ea typeface="Cambria Math" panose="02040503050406030204" pitchFamily="18" charset="0"/>
                    </a:rPr>
                    <m:t> </m:t>
                  </m:r>
                </m:oMath>
              </a14:m>
              <a:r>
                <a:rPr lang="de-DE" sz="1100"/>
                <a:t> </a:t>
              </a:r>
            </a:p>
          </xdr:txBody>
        </xdr:sp>
      </mc:Choice>
      <mc:Fallback xmlns="">
        <xdr:sp macro="" textlink="">
          <xdr:nvSpPr>
            <xdr:cNvPr id="2" name="Textfeld 1">
              <a:extLst>
                <a:ext uri="{FF2B5EF4-FFF2-40B4-BE49-F238E27FC236}">
                  <a16:creationId xmlns:a16="http://schemas.microsoft.com/office/drawing/2014/main" id="{57763C08-1C6A-4DEE-B44D-CDF9F3DD04ED}"/>
                </a:ext>
              </a:extLst>
            </xdr:cNvPr>
            <xdr:cNvSpPr txBox="1"/>
          </xdr:nvSpPr>
          <xdr:spPr>
            <a:xfrm>
              <a:off x="822379" y="2717192"/>
              <a:ext cx="1646285" cy="238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𝐹_𝐿𝑊=1/2</a:t>
              </a:r>
              <a:r>
                <a:rPr lang="de-DE" sz="1100" b="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panose="02040503050406030204" pitchFamily="18" charset="0"/>
                  <a:ea typeface="+mn-ea"/>
                  <a:cs typeface="+mn-cs"/>
                </a:rPr>
                <a:t> </a:t>
              </a:r>
              <a:r>
                <a:rPr lang="de-DE" sz="1100" b="0" i="0">
                  <a:solidFill>
                    <a:schemeClr val="tx1"/>
                  </a:solidFill>
                  <a:effectLst/>
                  <a:latin typeface="Cambria Math" panose="02040503050406030204" pitchFamily="18" charset="0"/>
                  <a:ea typeface="Cambria Math" panose="02040503050406030204" pitchFamily="18" charset="0"/>
                  <a:cs typeface="+mn-cs"/>
                </a:rPr>
                <a:t>∙</a:t>
              </a:r>
              <a:r>
                <a:rPr lang="de-DE" sz="1100" b="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Cambria Math" panose="02040503050406030204" pitchFamily="18" charset="0"/>
                  <a:cs typeface="+mn-cs"/>
                </a:rPr>
                <a:t>𝜌</a:t>
              </a:r>
              <a:r>
                <a:rPr lang="de-DE" sz="1100" i="0">
                  <a:solidFill>
                    <a:schemeClr val="tx1"/>
                  </a:solidFill>
                  <a:effectLst/>
                  <a:latin typeface="Cambria Math" panose="02040503050406030204" pitchFamily="18" charset="0"/>
                  <a:ea typeface="+mn-ea"/>
                  <a:cs typeface="+mn-cs"/>
                </a:rPr>
                <a:t>〗_</a:t>
              </a:r>
              <a:r>
                <a:rPr lang="de-DE" sz="1100" b="0" i="0">
                  <a:solidFill>
                    <a:schemeClr val="tx1"/>
                  </a:solidFill>
                  <a:effectLst/>
                  <a:latin typeface="Cambria Math" panose="02040503050406030204" pitchFamily="18" charset="0"/>
                  <a:ea typeface="+mn-ea"/>
                  <a:cs typeface="+mn-cs"/>
                </a:rPr>
                <a:t>𝐿</a:t>
              </a:r>
              <a:r>
                <a:rPr lang="de-DE" sz="1100" b="0" i="0">
                  <a:solidFill>
                    <a:schemeClr val="tx1"/>
                  </a:solidFill>
                  <a:effectLst/>
                  <a:latin typeface="Cambria Math" panose="02040503050406030204" pitchFamily="18" charset="0"/>
                  <a:ea typeface="Cambria Math" panose="02040503050406030204" pitchFamily="18" charset="0"/>
                  <a:cs typeface="+mn-cs"/>
                </a:rPr>
                <a:t> </a:t>
              </a:r>
              <a:r>
                <a:rPr lang="de-DE" sz="1100" b="0" i="0">
                  <a:latin typeface="Cambria Math" panose="02040503050406030204" pitchFamily="18" charset="0"/>
                  <a:ea typeface="Cambria Math" panose="02040503050406030204" pitchFamily="18" charset="0"/>
                </a:rPr>
                <a:t> ∙ 𝑐_𝑤∙𝐴 ∙𝑣_𝐹^2  </a:t>
              </a:r>
              <a:r>
                <a:rPr lang="de-DE" sz="1100"/>
                <a:t> </a:t>
              </a:r>
            </a:p>
          </xdr:txBody>
        </xdr:sp>
      </mc:Fallback>
    </mc:AlternateContent>
    <xdr:clientData/>
  </xdr:oneCellAnchor>
  <xdr:oneCellAnchor>
    <xdr:from>
      <xdr:col>1</xdr:col>
      <xdr:colOff>0</xdr:colOff>
      <xdr:row>18</xdr:row>
      <xdr:rowOff>0</xdr:rowOff>
    </xdr:from>
    <xdr:ext cx="966162" cy="172227"/>
    <mc:AlternateContent xmlns:mc="http://schemas.openxmlformats.org/markup-compatibility/2006" xmlns:a14="http://schemas.microsoft.com/office/drawing/2010/main">
      <mc:Choice Requires="a14">
        <xdr:sp macro="" textlink="">
          <xdr:nvSpPr>
            <xdr:cNvPr id="3" name="Textfeld 2">
              <a:extLst>
                <a:ext uri="{FF2B5EF4-FFF2-40B4-BE49-F238E27FC236}">
                  <a16:creationId xmlns:a16="http://schemas.microsoft.com/office/drawing/2014/main" id="{50F00BF6-5376-45C3-B8AA-1EFE09E7DD62}"/>
                </a:ext>
              </a:extLst>
            </xdr:cNvPr>
            <xdr:cNvSpPr txBox="1"/>
          </xdr:nvSpPr>
          <xdr:spPr>
            <a:xfrm>
              <a:off x="762000" y="3629025"/>
              <a:ext cx="96616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𝑅</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𝑓</m:t>
                        </m:r>
                      </m:e>
                      <m:sub>
                        <m:r>
                          <a:rPr lang="de-DE" sz="1100" b="0" i="1">
                            <a:latin typeface="Cambria Math" panose="02040503050406030204" pitchFamily="18" charset="0"/>
                          </a:rPr>
                          <m:t>𝑅</m:t>
                        </m:r>
                      </m:sub>
                    </m:sSub>
                  </m:oMath>
                </m:oMathPara>
              </a14:m>
              <a:endParaRPr lang="de-DE" sz="1100"/>
            </a:p>
          </xdr:txBody>
        </xdr:sp>
      </mc:Choice>
      <mc:Fallback xmlns="">
        <xdr:sp macro="" textlink="">
          <xdr:nvSpPr>
            <xdr:cNvPr id="3" name="Textfeld 2">
              <a:extLst>
                <a:ext uri="{FF2B5EF4-FFF2-40B4-BE49-F238E27FC236}">
                  <a16:creationId xmlns:a16="http://schemas.microsoft.com/office/drawing/2014/main" id="{50F00BF6-5376-45C3-B8AA-1EFE09E7DD62}"/>
                </a:ext>
              </a:extLst>
            </xdr:cNvPr>
            <xdr:cNvSpPr txBox="1"/>
          </xdr:nvSpPr>
          <xdr:spPr>
            <a:xfrm>
              <a:off x="762000" y="3629025"/>
              <a:ext cx="96616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𝐹_𝑅=𝑚∗𝑔∗𝑓_𝑅</a:t>
              </a:r>
              <a:endParaRPr lang="de-DE" sz="1100"/>
            </a:p>
          </xdr:txBody>
        </xdr:sp>
      </mc:Fallback>
    </mc:AlternateContent>
    <xdr:clientData/>
  </xdr:oneCellAnchor>
  <xdr:oneCellAnchor>
    <xdr:from>
      <xdr:col>1</xdr:col>
      <xdr:colOff>23191</xdr:colOff>
      <xdr:row>44</xdr:row>
      <xdr:rowOff>183872</xdr:rowOff>
    </xdr:from>
    <xdr:ext cx="823302" cy="172227"/>
    <mc:AlternateContent xmlns:mc="http://schemas.openxmlformats.org/markup-compatibility/2006" xmlns:a14="http://schemas.microsoft.com/office/drawing/2010/main">
      <mc:Choice Requires="a14">
        <xdr:sp macro="" textlink="">
          <xdr:nvSpPr>
            <xdr:cNvPr id="4" name="Textfeld 3">
              <a:extLst>
                <a:ext uri="{FF2B5EF4-FFF2-40B4-BE49-F238E27FC236}">
                  <a16:creationId xmlns:a16="http://schemas.microsoft.com/office/drawing/2014/main" id="{5AFCDA1E-02C2-4448-B226-FC7DAC50BC0B}"/>
                </a:ext>
              </a:extLst>
            </xdr:cNvPr>
            <xdr:cNvSpPr txBox="1"/>
          </xdr:nvSpPr>
          <xdr:spPr>
            <a:xfrm>
              <a:off x="785191" y="9442172"/>
              <a:ext cx="8233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solidFill>
                              <a:schemeClr val="tx1"/>
                            </a:solidFill>
                            <a:effectLst/>
                            <a:latin typeface="Cambria Math" panose="02040503050406030204" pitchFamily="18" charset="0"/>
                            <a:ea typeface="+mn-ea"/>
                            <a:cs typeface="+mn-cs"/>
                          </a:rPr>
                        </m:ctrlPr>
                      </m:sSubPr>
                      <m:e>
                        <m:sSub>
                          <m:sSubPr>
                            <m:ctrlPr>
                              <a:rPr lang="de-DE" sz="1100" i="1">
                                <a:solidFill>
                                  <a:schemeClr val="tx1"/>
                                </a:solidFill>
                                <a:effectLst/>
                                <a:latin typeface="Cambria Math" panose="02040503050406030204" pitchFamily="18" charset="0"/>
                                <a:ea typeface="+mn-ea"/>
                                <a:cs typeface="+mn-cs"/>
                              </a:rPr>
                            </m:ctrlPr>
                          </m:sSubPr>
                          <m:e>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𝑃</m:t>
                                </m:r>
                              </m:e>
                              <m:sub>
                                <m:r>
                                  <a:rPr lang="de-DE" sz="1100" b="0" i="1">
                                    <a:solidFill>
                                      <a:schemeClr val="tx1"/>
                                    </a:solidFill>
                                    <a:effectLst/>
                                    <a:latin typeface="Cambria Math" panose="02040503050406030204" pitchFamily="18" charset="0"/>
                                    <a:ea typeface="+mn-ea"/>
                                    <a:cs typeface="+mn-cs"/>
                                  </a:rPr>
                                  <m:t>𝑁</m:t>
                                </m:r>
                              </m:sub>
                            </m:sSub>
                            <m:r>
                              <a:rPr lang="de-DE" sz="1100" b="0" i="1">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𝑍</m:t>
                            </m:r>
                          </m:sub>
                        </m:sSub>
                        <m:r>
                          <a:rPr lang="de-DE" sz="1100" b="0" i="1">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oMath>
                </m:oMathPara>
              </a14:m>
              <a:endParaRPr lang="de-DE" sz="1100" b="0">
                <a:solidFill>
                  <a:schemeClr val="tx1"/>
                </a:solidFill>
                <a:effectLst/>
                <a:ea typeface="+mn-ea"/>
                <a:cs typeface="+mn-cs"/>
              </a:endParaRPr>
            </a:p>
          </xdr:txBody>
        </xdr:sp>
      </mc:Choice>
      <mc:Fallback xmlns="">
        <xdr:sp macro="" textlink="">
          <xdr:nvSpPr>
            <xdr:cNvPr id="4" name="Textfeld 3">
              <a:extLst>
                <a:ext uri="{FF2B5EF4-FFF2-40B4-BE49-F238E27FC236}">
                  <a16:creationId xmlns:a16="http://schemas.microsoft.com/office/drawing/2014/main" id="{5AFCDA1E-02C2-4448-B226-FC7DAC50BC0B}"/>
                </a:ext>
              </a:extLst>
            </xdr:cNvPr>
            <xdr:cNvSpPr txBox="1"/>
          </xdr:nvSpPr>
          <xdr:spPr>
            <a:xfrm>
              <a:off x="785191" y="9442172"/>
              <a:ext cx="8233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panose="02040503050406030204" pitchFamily="18" charset="0"/>
                  <a:ea typeface="+mn-ea"/>
                  <a:cs typeface="+mn-cs"/>
                </a:rPr>
                <a:t>𝑃_𝑁=𝐹〗_𝑍∗𝑣〗_𝑡ℎ</a:t>
              </a:r>
              <a:endParaRPr lang="de-DE" sz="1100" b="0">
                <a:solidFill>
                  <a:schemeClr val="tx1"/>
                </a:solidFill>
                <a:effectLst/>
                <a:ea typeface="+mn-ea"/>
                <a:cs typeface="+mn-cs"/>
              </a:endParaRPr>
            </a:p>
          </xdr:txBody>
        </xdr:sp>
      </mc:Fallback>
    </mc:AlternateContent>
    <xdr:clientData/>
  </xdr:oneCellAnchor>
  <xdr:oneCellAnchor>
    <xdr:from>
      <xdr:col>2</xdr:col>
      <xdr:colOff>101875</xdr:colOff>
      <xdr:row>49</xdr:row>
      <xdr:rowOff>0</xdr:rowOff>
    </xdr:from>
    <xdr:ext cx="65" cy="172227"/>
    <xdr:sp macro="" textlink="">
      <xdr:nvSpPr>
        <xdr:cNvPr id="5" name="Textfeld 4">
          <a:extLst>
            <a:ext uri="{FF2B5EF4-FFF2-40B4-BE49-F238E27FC236}">
              <a16:creationId xmlns:a16="http://schemas.microsoft.com/office/drawing/2014/main" id="{B4259BAB-B4D5-499F-81C6-88DF3B5D7D62}"/>
            </a:ext>
          </a:extLst>
        </xdr:cNvPr>
        <xdr:cNvSpPr txBox="1"/>
      </xdr:nvSpPr>
      <xdr:spPr>
        <a:xfrm>
          <a:off x="1683025" y="10287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0</xdr:col>
      <xdr:colOff>193813</xdr:colOff>
      <xdr:row>37</xdr:row>
      <xdr:rowOff>11595</xdr:rowOff>
    </xdr:from>
    <xdr:ext cx="1209818" cy="172227"/>
    <mc:AlternateContent xmlns:mc="http://schemas.openxmlformats.org/markup-compatibility/2006" xmlns:a14="http://schemas.microsoft.com/office/drawing/2010/main">
      <mc:Choice Requires="a14">
        <xdr:sp macro="" textlink="">
          <xdr:nvSpPr>
            <xdr:cNvPr id="6" name="Textfeld 5">
              <a:extLst>
                <a:ext uri="{FF2B5EF4-FFF2-40B4-BE49-F238E27FC236}">
                  <a16:creationId xmlns:a16="http://schemas.microsoft.com/office/drawing/2014/main" id="{17B0EA14-CDAC-4CF0-A449-5DE55B6B3E43}"/>
                </a:ext>
              </a:extLst>
            </xdr:cNvPr>
            <xdr:cNvSpPr txBox="1"/>
          </xdr:nvSpPr>
          <xdr:spPr>
            <a:xfrm>
              <a:off x="193813" y="7812570"/>
              <a:ext cx="1209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i="1">
                            <a:latin typeface="Cambria Math" panose="02040503050406030204" pitchFamily="18" charset="0"/>
                            <a:ea typeface="Cambria Math" panose="02040503050406030204" pitchFamily="18" charset="0"/>
                          </a:rPr>
                          <m:t>𝜆</m:t>
                        </m:r>
                      </m:e>
                      <m:sub>
                        <m:r>
                          <a:rPr lang="de-DE" sz="1100" b="0" i="1">
                            <a:latin typeface="Cambria Math" panose="02040503050406030204" pitchFamily="18" charset="0"/>
                          </a:rPr>
                          <m:t>𝐴</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𝐹</m:t>
                        </m:r>
                      </m:sub>
                    </m:sSub>
                  </m:oMath>
                </m:oMathPara>
              </a14:m>
              <a:endParaRPr lang="de-DE" sz="1100"/>
            </a:p>
          </xdr:txBody>
        </xdr:sp>
      </mc:Choice>
      <mc:Fallback xmlns="">
        <xdr:sp macro="" textlink="">
          <xdr:nvSpPr>
            <xdr:cNvPr id="6" name="Textfeld 5">
              <a:extLst>
                <a:ext uri="{FF2B5EF4-FFF2-40B4-BE49-F238E27FC236}">
                  <a16:creationId xmlns:a16="http://schemas.microsoft.com/office/drawing/2014/main" id="{17B0EA14-CDAC-4CF0-A449-5DE55B6B3E43}"/>
                </a:ext>
              </a:extLst>
            </xdr:cNvPr>
            <xdr:cNvSpPr txBox="1"/>
          </xdr:nvSpPr>
          <xdr:spPr>
            <a:xfrm>
              <a:off x="193813" y="7812570"/>
              <a:ext cx="1209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latin typeface="Cambria Math" panose="02040503050406030204" pitchFamily="18" charset="0"/>
                  <a:ea typeface="Cambria Math" panose="02040503050406030204" pitchFamily="18" charset="0"/>
                </a:rPr>
                <a:t>𝜆_</a:t>
              </a:r>
              <a:r>
                <a:rPr lang="de-DE" sz="1100" b="0" i="0">
                  <a:latin typeface="Cambria Math" panose="02040503050406030204" pitchFamily="18" charset="0"/>
                </a:rPr>
                <a:t>𝐴∗</a:t>
              </a:r>
              <a:r>
                <a:rPr lang="de-DE" sz="1100" b="0" i="0">
                  <a:solidFill>
                    <a:schemeClr val="tx1"/>
                  </a:solidFill>
                  <a:effectLst/>
                  <a:latin typeface="Cambria Math" panose="02040503050406030204" pitchFamily="18" charset="0"/>
                  <a:ea typeface="+mn-ea"/>
                  <a:cs typeface="+mn-cs"/>
                </a:rPr>
                <a:t>𝑣_𝑡ℎ</a:t>
              </a: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𝑣_𝑡ℎ− 𝑣_𝐹</a:t>
              </a:r>
              <a:endParaRPr lang="de-DE" sz="1100"/>
            </a:p>
          </xdr:txBody>
        </xdr:sp>
      </mc:Fallback>
    </mc:AlternateContent>
    <xdr:clientData/>
  </xdr:oneCellAnchor>
  <xdr:oneCellAnchor>
    <xdr:from>
      <xdr:col>1</xdr:col>
      <xdr:colOff>0</xdr:colOff>
      <xdr:row>22</xdr:row>
      <xdr:rowOff>8283</xdr:rowOff>
    </xdr:from>
    <xdr:ext cx="944682" cy="172227"/>
    <mc:AlternateContent xmlns:mc="http://schemas.openxmlformats.org/markup-compatibility/2006" xmlns:a14="http://schemas.microsoft.com/office/drawing/2010/main">
      <mc:Choice Requires="a14">
        <xdr:sp macro="" textlink="">
          <xdr:nvSpPr>
            <xdr:cNvPr id="7" name="Textfeld 6">
              <a:extLst>
                <a:ext uri="{FF2B5EF4-FFF2-40B4-BE49-F238E27FC236}">
                  <a16:creationId xmlns:a16="http://schemas.microsoft.com/office/drawing/2014/main" id="{D17B56A8-AAF5-4B90-9ABD-5909B9F3B3B7}"/>
                </a:ext>
              </a:extLst>
            </xdr:cNvPr>
            <xdr:cNvSpPr txBox="1"/>
          </xdr:nvSpPr>
          <xdr:spPr>
            <a:xfrm>
              <a:off x="762000" y="4551708"/>
              <a:ext cx="94468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𝑆𝑡</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r>
                      <a:rPr lang="de-DE" sz="1100" b="0" i="1">
                        <a:latin typeface="Cambria Math" panose="02040503050406030204" pitchFamily="18" charset="0"/>
                      </a:rPr>
                      <m:t>𝑝</m:t>
                    </m:r>
                  </m:oMath>
                </m:oMathPara>
              </a14:m>
              <a:endParaRPr lang="de-DE" sz="1100"/>
            </a:p>
          </xdr:txBody>
        </xdr:sp>
      </mc:Choice>
      <mc:Fallback xmlns="">
        <xdr:sp macro="" textlink="">
          <xdr:nvSpPr>
            <xdr:cNvPr id="7" name="Textfeld 6">
              <a:extLst>
                <a:ext uri="{FF2B5EF4-FFF2-40B4-BE49-F238E27FC236}">
                  <a16:creationId xmlns:a16="http://schemas.microsoft.com/office/drawing/2014/main" id="{D17B56A8-AAF5-4B90-9ABD-5909B9F3B3B7}"/>
                </a:ext>
              </a:extLst>
            </xdr:cNvPr>
            <xdr:cNvSpPr txBox="1"/>
          </xdr:nvSpPr>
          <xdr:spPr>
            <a:xfrm>
              <a:off x="762000" y="4551708"/>
              <a:ext cx="94468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𝐹_𝑆𝑡=𝑚∗𝑔∗𝑝</a:t>
              </a:r>
              <a:endParaRPr lang="de-DE" sz="1100"/>
            </a:p>
          </xdr:txBody>
        </xdr:sp>
      </mc:Fallback>
    </mc:AlternateContent>
    <xdr:clientData/>
  </xdr:oneCellAnchor>
  <xdr:oneCellAnchor>
    <xdr:from>
      <xdr:col>1</xdr:col>
      <xdr:colOff>39756</xdr:colOff>
      <xdr:row>34</xdr:row>
      <xdr:rowOff>147430</xdr:rowOff>
    </xdr:from>
    <xdr:ext cx="895245" cy="317908"/>
    <mc:AlternateContent xmlns:mc="http://schemas.openxmlformats.org/markup-compatibility/2006" xmlns:a14="http://schemas.microsoft.com/office/drawing/2010/main">
      <mc:Choice Requires="a14">
        <xdr:sp macro="" textlink="">
          <xdr:nvSpPr>
            <xdr:cNvPr id="8" name="Textfeld 7">
              <a:extLst>
                <a:ext uri="{FF2B5EF4-FFF2-40B4-BE49-F238E27FC236}">
                  <a16:creationId xmlns:a16="http://schemas.microsoft.com/office/drawing/2014/main" id="{15B63986-B912-4906-8B8B-9AF836F186BE}"/>
                </a:ext>
              </a:extLst>
            </xdr:cNvPr>
            <xdr:cNvSpPr txBox="1"/>
          </xdr:nvSpPr>
          <xdr:spPr>
            <a:xfrm>
              <a:off x="801756" y="7338805"/>
              <a:ext cx="895245"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i="1">
                            <a:latin typeface="Cambria Math" panose="02040503050406030204" pitchFamily="18" charset="0"/>
                            <a:ea typeface="Cambria Math" panose="02040503050406030204" pitchFamily="18" charset="0"/>
                          </a:rPr>
                          <m:t>𝜆</m:t>
                        </m:r>
                      </m:e>
                      <m:sub>
                        <m:r>
                          <a:rPr lang="de-DE" sz="1100" b="0" i="1">
                            <a:latin typeface="Cambria Math" panose="02040503050406030204" pitchFamily="18" charset="0"/>
                          </a:rPr>
                          <m:t>𝐴</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num>
                      <m:den>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den>
                    </m:f>
                  </m:oMath>
                </m:oMathPara>
              </a14:m>
              <a:endParaRPr lang="de-DE" sz="1100"/>
            </a:p>
          </xdr:txBody>
        </xdr:sp>
      </mc:Choice>
      <mc:Fallback xmlns="">
        <xdr:sp macro="" textlink="">
          <xdr:nvSpPr>
            <xdr:cNvPr id="8" name="Textfeld 7">
              <a:extLst>
                <a:ext uri="{FF2B5EF4-FFF2-40B4-BE49-F238E27FC236}">
                  <a16:creationId xmlns:a16="http://schemas.microsoft.com/office/drawing/2014/main" id="{15B63986-B912-4906-8B8B-9AF836F186BE}"/>
                </a:ext>
              </a:extLst>
            </xdr:cNvPr>
            <xdr:cNvSpPr txBox="1"/>
          </xdr:nvSpPr>
          <xdr:spPr>
            <a:xfrm>
              <a:off x="801756" y="7338805"/>
              <a:ext cx="895245"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latin typeface="Cambria Math" panose="02040503050406030204" pitchFamily="18" charset="0"/>
                  <a:ea typeface="Cambria Math" panose="02040503050406030204" pitchFamily="18" charset="0"/>
                </a:rPr>
                <a:t>𝜆_</a:t>
              </a:r>
              <a:r>
                <a:rPr lang="de-DE" sz="1100" b="0" i="0">
                  <a:latin typeface="Cambria Math" panose="02040503050406030204" pitchFamily="18" charset="0"/>
                </a:rPr>
                <a:t>𝐴=(𝑣_𝑡ℎ−𝑣_𝐹)/𝑣_𝑡ℎ </a:t>
              </a:r>
              <a:endParaRPr lang="de-DE" sz="1100"/>
            </a:p>
          </xdr:txBody>
        </xdr:sp>
      </mc:Fallback>
    </mc:AlternateContent>
    <xdr:clientData/>
  </xdr:oneCellAnchor>
  <xdr:oneCellAnchor>
    <xdr:from>
      <xdr:col>4</xdr:col>
      <xdr:colOff>553278</xdr:colOff>
      <xdr:row>36</xdr:row>
      <xdr:rowOff>213690</xdr:rowOff>
    </xdr:from>
    <xdr:ext cx="796115" cy="317908"/>
    <mc:AlternateContent xmlns:mc="http://schemas.openxmlformats.org/markup-compatibility/2006" xmlns:a14="http://schemas.microsoft.com/office/drawing/2010/main">
      <mc:Choice Requires="a14">
        <xdr:sp macro="" textlink="">
          <xdr:nvSpPr>
            <xdr:cNvPr id="9" name="Textfeld 8">
              <a:extLst>
                <a:ext uri="{FF2B5EF4-FFF2-40B4-BE49-F238E27FC236}">
                  <a16:creationId xmlns:a16="http://schemas.microsoft.com/office/drawing/2014/main" id="{3B8D43FA-DAC0-4D65-9583-701DA5576D01}"/>
                </a:ext>
              </a:extLst>
            </xdr:cNvPr>
            <xdr:cNvSpPr txBox="1"/>
          </xdr:nvSpPr>
          <xdr:spPr>
            <a:xfrm>
              <a:off x="4506153" y="7786065"/>
              <a:ext cx="796115"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num>
                      <m:den>
                        <m:r>
                          <a:rPr lang="de-DE" sz="1100" b="0" i="1">
                            <a:latin typeface="Cambria Math" panose="02040503050406030204" pitchFamily="18" charset="0"/>
                          </a:rPr>
                          <m:t>1−</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𝜆</m:t>
                            </m:r>
                          </m:e>
                          <m:sub>
                            <m:r>
                              <a:rPr lang="de-DE" sz="1100" b="0" i="1">
                                <a:latin typeface="Cambria Math" panose="02040503050406030204" pitchFamily="18" charset="0"/>
                              </a:rPr>
                              <m:t>𝐴</m:t>
                            </m:r>
                          </m:sub>
                        </m:sSub>
                      </m:den>
                    </m:f>
                  </m:oMath>
                </m:oMathPara>
              </a14:m>
              <a:endParaRPr lang="de-DE" sz="1100"/>
            </a:p>
          </xdr:txBody>
        </xdr:sp>
      </mc:Choice>
      <mc:Fallback xmlns="">
        <xdr:sp macro="" textlink="">
          <xdr:nvSpPr>
            <xdr:cNvPr id="9" name="Textfeld 8">
              <a:extLst>
                <a:ext uri="{FF2B5EF4-FFF2-40B4-BE49-F238E27FC236}">
                  <a16:creationId xmlns:a16="http://schemas.microsoft.com/office/drawing/2014/main" id="{3B8D43FA-DAC0-4D65-9583-701DA5576D01}"/>
                </a:ext>
              </a:extLst>
            </xdr:cNvPr>
            <xdr:cNvSpPr txBox="1"/>
          </xdr:nvSpPr>
          <xdr:spPr>
            <a:xfrm>
              <a:off x="4506153" y="7786065"/>
              <a:ext cx="796115" cy="31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𝑣_𝑡ℎ=𝑣_𝐹/(1−</a:t>
              </a:r>
              <a:r>
                <a:rPr lang="de-DE" sz="1100" b="0" i="0">
                  <a:latin typeface="Cambria Math" panose="02040503050406030204" pitchFamily="18" charset="0"/>
                  <a:ea typeface="Cambria Math" panose="02040503050406030204" pitchFamily="18" charset="0"/>
                </a:rPr>
                <a:t>𝜆_</a:t>
              </a:r>
              <a:r>
                <a:rPr lang="de-DE" sz="1100" b="0" i="0">
                  <a:latin typeface="Cambria Math" panose="02040503050406030204" pitchFamily="18" charset="0"/>
                </a:rPr>
                <a:t>𝐴 )</a:t>
              </a:r>
              <a:endParaRPr lang="de-DE" sz="1100"/>
            </a:p>
          </xdr:txBody>
        </xdr:sp>
      </mc:Fallback>
    </mc:AlternateContent>
    <xdr:clientData/>
  </xdr:oneCellAnchor>
  <xdr:oneCellAnchor>
    <xdr:from>
      <xdr:col>1</xdr:col>
      <xdr:colOff>56321</xdr:colOff>
      <xdr:row>28</xdr:row>
      <xdr:rowOff>180561</xdr:rowOff>
    </xdr:from>
    <xdr:ext cx="1255215" cy="172227"/>
    <mc:AlternateContent xmlns:mc="http://schemas.openxmlformats.org/markup-compatibility/2006" xmlns:a14="http://schemas.microsoft.com/office/drawing/2010/main">
      <mc:Choice Requires="a14">
        <xdr:sp macro="" textlink="">
          <xdr:nvSpPr>
            <xdr:cNvPr id="10" name="Textfeld 9">
              <a:extLst>
                <a:ext uri="{FF2B5EF4-FFF2-40B4-BE49-F238E27FC236}">
                  <a16:creationId xmlns:a16="http://schemas.microsoft.com/office/drawing/2014/main" id="{13EBEEB7-9C88-4334-80AA-3731F6CEEAB5}"/>
                </a:ext>
              </a:extLst>
            </xdr:cNvPr>
            <xdr:cNvSpPr txBox="1"/>
          </xdr:nvSpPr>
          <xdr:spPr>
            <a:xfrm>
              <a:off x="818321" y="6057486"/>
              <a:ext cx="125521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𝑍</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𝐿𝑊</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𝑅</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𝑆𝑡</m:t>
                        </m:r>
                      </m:sub>
                    </m:sSub>
                  </m:oMath>
                </m:oMathPara>
              </a14:m>
              <a:endParaRPr lang="de-DE" sz="1100"/>
            </a:p>
          </xdr:txBody>
        </xdr:sp>
      </mc:Choice>
      <mc:Fallback xmlns="">
        <xdr:sp macro="" textlink="">
          <xdr:nvSpPr>
            <xdr:cNvPr id="10" name="Textfeld 9">
              <a:extLst>
                <a:ext uri="{FF2B5EF4-FFF2-40B4-BE49-F238E27FC236}">
                  <a16:creationId xmlns:a16="http://schemas.microsoft.com/office/drawing/2014/main" id="{13EBEEB7-9C88-4334-80AA-3731F6CEEAB5}"/>
                </a:ext>
              </a:extLst>
            </xdr:cNvPr>
            <xdr:cNvSpPr txBox="1"/>
          </xdr:nvSpPr>
          <xdr:spPr>
            <a:xfrm>
              <a:off x="818321" y="6057486"/>
              <a:ext cx="125521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𝐹_𝑍=𝐹_𝐿𝑊+𝐹_𝑅+𝐹_𝑆𝑡</a:t>
              </a:r>
              <a:endParaRPr lang="de-DE" sz="1100"/>
            </a:p>
          </xdr:txBody>
        </xdr:sp>
      </mc:Fallback>
    </mc:AlternateContent>
    <xdr:clientData/>
  </xdr:oneCellAnchor>
  <xdr:oneCellAnchor>
    <xdr:from>
      <xdr:col>1</xdr:col>
      <xdr:colOff>41413</xdr:colOff>
      <xdr:row>48</xdr:row>
      <xdr:rowOff>107674</xdr:rowOff>
    </xdr:from>
    <xdr:ext cx="546111" cy="345544"/>
    <mc:AlternateContent xmlns:mc="http://schemas.openxmlformats.org/markup-compatibility/2006" xmlns:a14="http://schemas.microsoft.com/office/drawing/2010/main">
      <mc:Choice Requires="a14">
        <xdr:sp macro="" textlink="">
          <xdr:nvSpPr>
            <xdr:cNvPr id="11" name="Textfeld 10">
              <a:extLst>
                <a:ext uri="{FF2B5EF4-FFF2-40B4-BE49-F238E27FC236}">
                  <a16:creationId xmlns:a16="http://schemas.microsoft.com/office/drawing/2014/main" id="{8F87DC1D-46C3-4E1B-9F2A-A6D118E9331F}"/>
                </a:ext>
              </a:extLst>
            </xdr:cNvPr>
            <xdr:cNvSpPr txBox="1"/>
          </xdr:nvSpPr>
          <xdr:spPr>
            <a:xfrm>
              <a:off x="803413" y="10204174"/>
              <a:ext cx="546111"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𝑒</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𝑁</m:t>
                            </m:r>
                          </m:sub>
                        </m:sSub>
                      </m:num>
                      <m:den>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den>
                    </m:f>
                  </m:oMath>
                </m:oMathPara>
              </a14:m>
              <a:endParaRPr lang="de-DE" sz="1100"/>
            </a:p>
          </xdr:txBody>
        </xdr:sp>
      </mc:Choice>
      <mc:Fallback xmlns="">
        <xdr:sp macro="" textlink="">
          <xdr:nvSpPr>
            <xdr:cNvPr id="11" name="Textfeld 10">
              <a:extLst>
                <a:ext uri="{FF2B5EF4-FFF2-40B4-BE49-F238E27FC236}">
                  <a16:creationId xmlns:a16="http://schemas.microsoft.com/office/drawing/2014/main" id="{8F87DC1D-46C3-4E1B-9F2A-A6D118E9331F}"/>
                </a:ext>
              </a:extLst>
            </xdr:cNvPr>
            <xdr:cNvSpPr txBox="1"/>
          </xdr:nvSpPr>
          <xdr:spPr>
            <a:xfrm>
              <a:off x="803413" y="10204174"/>
              <a:ext cx="546111"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𝑃_𝑒=𝑃_𝑁/</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 </a:t>
              </a:r>
              <a:endParaRPr lang="de-DE" sz="1100"/>
            </a:p>
          </xdr:txBody>
        </xdr:sp>
      </mc:Fallback>
    </mc:AlternateContent>
    <xdr:clientData/>
  </xdr:oneCellAnchor>
  <xdr:oneCellAnchor>
    <xdr:from>
      <xdr:col>1</xdr:col>
      <xdr:colOff>68745</xdr:colOff>
      <xdr:row>52</xdr:row>
      <xdr:rowOff>188843</xdr:rowOff>
    </xdr:from>
    <xdr:ext cx="779059" cy="172227"/>
    <mc:AlternateContent xmlns:mc="http://schemas.openxmlformats.org/markup-compatibility/2006" xmlns:a14="http://schemas.microsoft.com/office/drawing/2010/main">
      <mc:Choice Requires="a14">
        <xdr:sp macro="" textlink="">
          <xdr:nvSpPr>
            <xdr:cNvPr id="12" name="Textfeld 11">
              <a:extLst>
                <a:ext uri="{FF2B5EF4-FFF2-40B4-BE49-F238E27FC236}">
                  <a16:creationId xmlns:a16="http://schemas.microsoft.com/office/drawing/2014/main" id="{21A11905-638A-42BD-A3FD-458CE6BC3C42}"/>
                </a:ext>
              </a:extLst>
            </xdr:cNvPr>
            <xdr:cNvSpPr txBox="1"/>
          </xdr:nvSpPr>
          <xdr:spPr>
            <a:xfrm>
              <a:off x="830745" y="11123543"/>
              <a:ext cx="77905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𝑁</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𝜆</m:t>
                        </m:r>
                      </m:e>
                      <m:sub>
                        <m:r>
                          <a:rPr lang="de-DE" sz="1100" b="0" i="1">
                            <a:latin typeface="Cambria Math" panose="02040503050406030204" pitchFamily="18" charset="0"/>
                          </a:rPr>
                          <m:t>𝐴</m:t>
                        </m:r>
                      </m:sub>
                    </m:sSub>
                  </m:oMath>
                </m:oMathPara>
              </a14:m>
              <a:endParaRPr lang="de-DE" sz="1100"/>
            </a:p>
          </xdr:txBody>
        </xdr:sp>
      </mc:Choice>
      <mc:Fallback xmlns="">
        <xdr:sp macro="" textlink="">
          <xdr:nvSpPr>
            <xdr:cNvPr id="12" name="Textfeld 11">
              <a:extLst>
                <a:ext uri="{FF2B5EF4-FFF2-40B4-BE49-F238E27FC236}">
                  <a16:creationId xmlns:a16="http://schemas.microsoft.com/office/drawing/2014/main" id="{21A11905-638A-42BD-A3FD-458CE6BC3C42}"/>
                </a:ext>
              </a:extLst>
            </xdr:cNvPr>
            <xdr:cNvSpPr txBox="1"/>
          </xdr:nvSpPr>
          <xdr:spPr>
            <a:xfrm>
              <a:off x="830745" y="11123543"/>
              <a:ext cx="77905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𝑃_𝑆=𝑃_𝑁∗</a:t>
              </a:r>
              <a:r>
                <a:rPr lang="de-DE" sz="1100" b="0" i="0">
                  <a:latin typeface="Cambria Math" panose="02040503050406030204" pitchFamily="18" charset="0"/>
                  <a:ea typeface="Cambria Math" panose="02040503050406030204" pitchFamily="18" charset="0"/>
                </a:rPr>
                <a:t>𝜆_</a:t>
              </a:r>
              <a:r>
                <a:rPr lang="de-DE" sz="1100" b="0" i="0">
                  <a:latin typeface="Cambria Math" panose="02040503050406030204" pitchFamily="18" charset="0"/>
                </a:rPr>
                <a:t>𝐴</a:t>
              </a:r>
              <a:endParaRPr lang="de-DE" sz="1100"/>
            </a:p>
          </xdr:txBody>
        </xdr:sp>
      </mc:Fallback>
    </mc:AlternateContent>
    <xdr:clientData/>
  </xdr:oneCellAnchor>
  <xdr:oneCellAnchor>
    <xdr:from>
      <xdr:col>1</xdr:col>
      <xdr:colOff>52179</xdr:colOff>
      <xdr:row>56</xdr:row>
      <xdr:rowOff>188843</xdr:rowOff>
    </xdr:from>
    <xdr:ext cx="1251818" cy="172227"/>
    <mc:AlternateContent xmlns:mc="http://schemas.openxmlformats.org/markup-compatibility/2006" xmlns:a14="http://schemas.microsoft.com/office/drawing/2010/main">
      <mc:Choice Requires="a14">
        <xdr:sp macro="" textlink="">
          <xdr:nvSpPr>
            <xdr:cNvPr id="13" name="Textfeld 12">
              <a:extLst>
                <a:ext uri="{FF2B5EF4-FFF2-40B4-BE49-F238E27FC236}">
                  <a16:creationId xmlns:a16="http://schemas.microsoft.com/office/drawing/2014/main" id="{E601DD64-13B0-477E-897C-420658260BBF}"/>
                </a:ext>
              </a:extLst>
            </xdr:cNvPr>
            <xdr:cNvSpPr txBox="1"/>
          </xdr:nvSpPr>
          <xdr:spPr>
            <a:xfrm>
              <a:off x="814179" y="11961743"/>
              <a:ext cx="1251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𝑉𝑇</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𝑒</m:t>
                        </m:r>
                      </m:sub>
                    </m:sSub>
                    <m:r>
                      <a:rPr lang="de-DE" sz="1100" b="0" i="1">
                        <a:latin typeface="Cambria Math" panose="02040503050406030204" pitchFamily="18" charset="0"/>
                      </a:rPr>
                      <m:t>∗(1−</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r>
                      <a:rPr lang="de-DE" sz="1100" b="0" i="1">
                        <a:latin typeface="Cambria Math" panose="02040503050406030204" pitchFamily="18" charset="0"/>
                      </a:rPr>
                      <m:t>)</m:t>
                    </m:r>
                  </m:oMath>
                </m:oMathPara>
              </a14:m>
              <a:endParaRPr lang="de-DE" sz="1100"/>
            </a:p>
          </xdr:txBody>
        </xdr:sp>
      </mc:Choice>
      <mc:Fallback xmlns="">
        <xdr:sp macro="" textlink="">
          <xdr:nvSpPr>
            <xdr:cNvPr id="13" name="Textfeld 12">
              <a:extLst>
                <a:ext uri="{FF2B5EF4-FFF2-40B4-BE49-F238E27FC236}">
                  <a16:creationId xmlns:a16="http://schemas.microsoft.com/office/drawing/2014/main" id="{E601DD64-13B0-477E-897C-420658260BBF}"/>
                </a:ext>
              </a:extLst>
            </xdr:cNvPr>
            <xdr:cNvSpPr txBox="1"/>
          </xdr:nvSpPr>
          <xdr:spPr>
            <a:xfrm>
              <a:off x="814179" y="11961743"/>
              <a:ext cx="1251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𝑃_𝑉𝑇=𝑃_𝑒∗(1−</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a:t>
              </a:r>
              <a:endParaRPr lang="de-DE" sz="1100"/>
            </a:p>
          </xdr:txBody>
        </xdr:sp>
      </mc:Fallback>
    </mc:AlternateContent>
    <xdr:clientData/>
  </xdr:oneCellAnchor>
  <xdr:oneCellAnchor>
    <xdr:from>
      <xdr:col>1</xdr:col>
      <xdr:colOff>27248</xdr:colOff>
      <xdr:row>66</xdr:row>
      <xdr:rowOff>171533</xdr:rowOff>
    </xdr:from>
    <xdr:ext cx="1646285" cy="238976"/>
    <mc:AlternateContent xmlns:mc="http://schemas.openxmlformats.org/markup-compatibility/2006" xmlns:a14="http://schemas.microsoft.com/office/drawing/2010/main">
      <mc:Choice Requires="a14">
        <xdr:sp macro="" textlink="">
          <xdr:nvSpPr>
            <xdr:cNvPr id="14" name="Textfeld 13">
              <a:extLst>
                <a:ext uri="{FF2B5EF4-FFF2-40B4-BE49-F238E27FC236}">
                  <a16:creationId xmlns:a16="http://schemas.microsoft.com/office/drawing/2014/main" id="{D0ECD463-8332-476D-80BA-7F3CE045676B}"/>
                </a:ext>
              </a:extLst>
            </xdr:cNvPr>
            <xdr:cNvSpPr txBox="1"/>
          </xdr:nvSpPr>
          <xdr:spPr>
            <a:xfrm>
              <a:off x="789248" y="14020883"/>
              <a:ext cx="1646285" cy="238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𝐿𝑊</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sSub>
                    <m:sSubPr>
                      <m:ctrlPr>
                        <a:rPr lang="de-DE" sz="110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 </m:t>
                      </m:r>
                      <m:r>
                        <a:rPr lang="de-DE" sz="1100" b="0" i="1">
                          <a:solidFill>
                            <a:schemeClr val="tx1"/>
                          </a:solidFill>
                          <a:effectLst/>
                          <a:latin typeface="Cambria Math" panose="02040503050406030204" pitchFamily="18" charset="0"/>
                          <a:ea typeface="Cambria Math" panose="02040503050406030204" pitchFamily="18" charset="0"/>
                          <a:cs typeface="+mn-cs"/>
                        </a:rPr>
                        <m:t>∙</m:t>
                      </m:r>
                      <m:r>
                        <a:rPr lang="de-DE" sz="1100" b="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Cambria Math" panose="02040503050406030204" pitchFamily="18" charset="0"/>
                          <a:cs typeface="+mn-cs"/>
                        </a:rPr>
                        <m:t>𝜌</m:t>
                      </m:r>
                    </m:e>
                    <m:sub>
                      <m:r>
                        <a:rPr lang="de-DE" sz="1100" b="0" i="1">
                          <a:solidFill>
                            <a:schemeClr val="tx1"/>
                          </a:solidFill>
                          <a:effectLst/>
                          <a:latin typeface="Cambria Math" panose="02040503050406030204" pitchFamily="18" charset="0"/>
                          <a:ea typeface="+mn-ea"/>
                          <a:cs typeface="+mn-cs"/>
                        </a:rPr>
                        <m:t>𝐿</m:t>
                      </m:r>
                    </m:sub>
                  </m:sSub>
                  <m:r>
                    <a:rPr lang="de-DE" sz="1100" b="0" i="1">
                      <a:latin typeface="Cambria Math" panose="02040503050406030204" pitchFamily="18" charset="0"/>
                      <a:ea typeface="Cambria Math" panose="02040503050406030204" pitchFamily="18" charset="0"/>
                    </a:rPr>
                    <m:t> ∙ </m:t>
                  </m:r>
                  <m:sSub>
                    <m:sSubPr>
                      <m:ctrlPr>
                        <a:rPr lang="de-DE" sz="1100" b="0" i="1">
                          <a:latin typeface="Cambria Math" panose="02040503050406030204" pitchFamily="18" charset="0"/>
                          <a:ea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𝑐</m:t>
                      </m:r>
                    </m:e>
                    <m:sub>
                      <m:r>
                        <a:rPr lang="de-DE" sz="1100" b="0" i="1">
                          <a:latin typeface="Cambria Math" panose="02040503050406030204" pitchFamily="18" charset="0"/>
                          <a:ea typeface="Cambria Math" panose="02040503050406030204" pitchFamily="18" charset="0"/>
                        </a:rPr>
                        <m:t>𝑤</m:t>
                      </m:r>
                    </m:sub>
                  </m:sSub>
                  <m:r>
                    <a:rPr lang="de-DE" sz="1100" b="0" i="1">
                      <a:latin typeface="Cambria Math" panose="02040503050406030204" pitchFamily="18" charset="0"/>
                      <a:ea typeface="Cambria Math" panose="02040503050406030204" pitchFamily="18" charset="0"/>
                    </a:rPr>
                    <m:t>∙</m:t>
                  </m:r>
                  <m:r>
                    <a:rPr lang="de-DE" sz="1100" b="0" i="1">
                      <a:latin typeface="Cambria Math" panose="02040503050406030204" pitchFamily="18" charset="0"/>
                      <a:ea typeface="Cambria Math" panose="02040503050406030204" pitchFamily="18" charset="0"/>
                    </a:rPr>
                    <m:t>𝐴</m:t>
                  </m:r>
                  <m:r>
                    <a:rPr lang="de-DE" sz="1100" b="0" i="1">
                      <a:latin typeface="Cambria Math" panose="02040503050406030204" pitchFamily="18" charset="0"/>
                      <a:ea typeface="Cambria Math" panose="02040503050406030204" pitchFamily="18" charset="0"/>
                    </a:rPr>
                    <m:t> ∙</m:t>
                  </m:r>
                  <m:sSubSup>
                    <m:sSubSupPr>
                      <m:ctrlPr>
                        <a:rPr lang="de-DE" sz="1100" b="0" i="1">
                          <a:latin typeface="Cambria Math" panose="02040503050406030204" pitchFamily="18" charset="0"/>
                          <a:ea typeface="Cambria Math" panose="02040503050406030204" pitchFamily="18" charset="0"/>
                        </a:rPr>
                      </m:ctrlPr>
                    </m:sSubSupPr>
                    <m:e>
                      <m:r>
                        <a:rPr lang="de-DE" sz="1100" b="0" i="1">
                          <a:latin typeface="Cambria Math" panose="02040503050406030204" pitchFamily="18" charset="0"/>
                          <a:ea typeface="Cambria Math" panose="02040503050406030204" pitchFamily="18" charset="0"/>
                        </a:rPr>
                        <m:t>𝑣</m:t>
                      </m:r>
                    </m:e>
                    <m:sub>
                      <m:r>
                        <a:rPr lang="de-DE" sz="1100" b="0" i="1">
                          <a:latin typeface="Cambria Math" panose="02040503050406030204" pitchFamily="18" charset="0"/>
                          <a:ea typeface="Cambria Math" panose="02040503050406030204" pitchFamily="18" charset="0"/>
                        </a:rPr>
                        <m:t>𝐹</m:t>
                      </m:r>
                    </m:sub>
                    <m:sup>
                      <m:r>
                        <a:rPr lang="de-DE" sz="1100" b="0" i="1">
                          <a:latin typeface="Cambria Math" panose="02040503050406030204" pitchFamily="18" charset="0"/>
                          <a:ea typeface="Cambria Math" panose="02040503050406030204" pitchFamily="18" charset="0"/>
                        </a:rPr>
                        <m:t>3</m:t>
                      </m:r>
                    </m:sup>
                  </m:sSubSup>
                  <m:r>
                    <a:rPr lang="de-DE" sz="1100" b="0" i="1">
                      <a:latin typeface="Cambria Math" panose="02040503050406030204" pitchFamily="18" charset="0"/>
                      <a:ea typeface="Cambria Math" panose="02040503050406030204" pitchFamily="18" charset="0"/>
                    </a:rPr>
                    <m:t> </m:t>
                  </m:r>
                </m:oMath>
              </a14:m>
              <a:r>
                <a:rPr lang="de-DE" sz="1100"/>
                <a:t> </a:t>
              </a:r>
            </a:p>
          </xdr:txBody>
        </xdr:sp>
      </mc:Choice>
      <mc:Fallback xmlns="">
        <xdr:sp macro="" textlink="">
          <xdr:nvSpPr>
            <xdr:cNvPr id="14" name="Textfeld 13">
              <a:extLst>
                <a:ext uri="{FF2B5EF4-FFF2-40B4-BE49-F238E27FC236}">
                  <a16:creationId xmlns:a16="http://schemas.microsoft.com/office/drawing/2014/main" id="{D0ECD463-8332-476D-80BA-7F3CE045676B}"/>
                </a:ext>
              </a:extLst>
            </xdr:cNvPr>
            <xdr:cNvSpPr txBox="1"/>
          </xdr:nvSpPr>
          <xdr:spPr>
            <a:xfrm>
              <a:off x="789248" y="14020883"/>
              <a:ext cx="1646285" cy="238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𝑃_𝐿𝑊=1/2</a:t>
              </a:r>
              <a:r>
                <a:rPr lang="de-DE" sz="1100" b="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panose="02040503050406030204" pitchFamily="18" charset="0"/>
                  <a:ea typeface="+mn-ea"/>
                  <a:cs typeface="+mn-cs"/>
                </a:rPr>
                <a:t> </a:t>
              </a:r>
              <a:r>
                <a:rPr lang="de-DE" sz="1100" b="0" i="0">
                  <a:solidFill>
                    <a:schemeClr val="tx1"/>
                  </a:solidFill>
                  <a:effectLst/>
                  <a:latin typeface="Cambria Math" panose="02040503050406030204" pitchFamily="18" charset="0"/>
                  <a:ea typeface="Cambria Math" panose="02040503050406030204" pitchFamily="18" charset="0"/>
                  <a:cs typeface="+mn-cs"/>
                </a:rPr>
                <a:t>∙</a:t>
              </a:r>
              <a:r>
                <a:rPr lang="de-DE" sz="1100" b="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Cambria Math" panose="02040503050406030204" pitchFamily="18" charset="0"/>
                  <a:cs typeface="+mn-cs"/>
                </a:rPr>
                <a:t>𝜌</a:t>
              </a:r>
              <a:r>
                <a:rPr lang="de-DE" sz="1100" i="0">
                  <a:solidFill>
                    <a:schemeClr val="tx1"/>
                  </a:solidFill>
                  <a:effectLst/>
                  <a:latin typeface="Cambria Math" panose="02040503050406030204" pitchFamily="18" charset="0"/>
                  <a:ea typeface="+mn-ea"/>
                  <a:cs typeface="+mn-cs"/>
                </a:rPr>
                <a:t>〗_</a:t>
              </a:r>
              <a:r>
                <a:rPr lang="de-DE" sz="1100" b="0" i="0">
                  <a:solidFill>
                    <a:schemeClr val="tx1"/>
                  </a:solidFill>
                  <a:effectLst/>
                  <a:latin typeface="Cambria Math" panose="02040503050406030204" pitchFamily="18" charset="0"/>
                  <a:ea typeface="+mn-ea"/>
                  <a:cs typeface="+mn-cs"/>
                </a:rPr>
                <a:t>𝐿</a:t>
              </a:r>
              <a:r>
                <a:rPr lang="de-DE" sz="1100" b="0" i="0">
                  <a:solidFill>
                    <a:schemeClr val="tx1"/>
                  </a:solidFill>
                  <a:effectLst/>
                  <a:latin typeface="Cambria Math" panose="02040503050406030204" pitchFamily="18" charset="0"/>
                  <a:ea typeface="Cambria Math" panose="02040503050406030204" pitchFamily="18" charset="0"/>
                  <a:cs typeface="+mn-cs"/>
                </a:rPr>
                <a:t> </a:t>
              </a:r>
              <a:r>
                <a:rPr lang="de-DE" sz="1100" b="0" i="0">
                  <a:latin typeface="Cambria Math" panose="02040503050406030204" pitchFamily="18" charset="0"/>
                  <a:ea typeface="Cambria Math" panose="02040503050406030204" pitchFamily="18" charset="0"/>
                </a:rPr>
                <a:t> ∙ 𝑐_𝑤∙𝐴 ∙𝑣_𝐹^3  </a:t>
              </a:r>
              <a:r>
                <a:rPr lang="de-DE" sz="1100"/>
                <a:t> </a:t>
              </a:r>
            </a:p>
          </xdr:txBody>
        </xdr:sp>
      </mc:Fallback>
    </mc:AlternateContent>
    <xdr:clientData/>
  </xdr:oneCellAnchor>
  <xdr:oneCellAnchor>
    <xdr:from>
      <xdr:col>1</xdr:col>
      <xdr:colOff>0</xdr:colOff>
      <xdr:row>71</xdr:row>
      <xdr:rowOff>0</xdr:rowOff>
    </xdr:from>
    <xdr:ext cx="1274195" cy="172227"/>
    <mc:AlternateContent xmlns:mc="http://schemas.openxmlformats.org/markup-compatibility/2006" xmlns:a14="http://schemas.microsoft.com/office/drawing/2010/main">
      <mc:Choice Requires="a14">
        <xdr:sp macro="" textlink="">
          <xdr:nvSpPr>
            <xdr:cNvPr id="15" name="Textfeld 14">
              <a:extLst>
                <a:ext uri="{FF2B5EF4-FFF2-40B4-BE49-F238E27FC236}">
                  <a16:creationId xmlns:a16="http://schemas.microsoft.com/office/drawing/2014/main" id="{9AB6C71D-31A2-47A5-9D60-DECA947B99A5}"/>
                </a:ext>
              </a:extLst>
            </xdr:cNvPr>
            <xdr:cNvSpPr txBox="1"/>
          </xdr:nvSpPr>
          <xdr:spPr>
            <a:xfrm>
              <a:off x="762000" y="14878050"/>
              <a:ext cx="12741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𝑅</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𝑓</m:t>
                        </m:r>
                      </m:e>
                      <m:sub>
                        <m:r>
                          <a:rPr lang="de-DE" sz="1100" b="0" i="1">
                            <a:latin typeface="Cambria Math" panose="02040503050406030204" pitchFamily="18" charset="0"/>
                          </a:rPr>
                          <m:t>𝑅</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oMath>
                </m:oMathPara>
              </a14:m>
              <a:endParaRPr lang="de-DE" sz="1100"/>
            </a:p>
          </xdr:txBody>
        </xdr:sp>
      </mc:Choice>
      <mc:Fallback xmlns="">
        <xdr:sp macro="" textlink="">
          <xdr:nvSpPr>
            <xdr:cNvPr id="15" name="Textfeld 14">
              <a:extLst>
                <a:ext uri="{FF2B5EF4-FFF2-40B4-BE49-F238E27FC236}">
                  <a16:creationId xmlns:a16="http://schemas.microsoft.com/office/drawing/2014/main" id="{9AB6C71D-31A2-47A5-9D60-DECA947B99A5}"/>
                </a:ext>
              </a:extLst>
            </xdr:cNvPr>
            <xdr:cNvSpPr txBox="1"/>
          </xdr:nvSpPr>
          <xdr:spPr>
            <a:xfrm>
              <a:off x="762000" y="14878050"/>
              <a:ext cx="12741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𝑃_𝑅=𝑚∗𝑔∗𝑓_𝑅∗𝑣_𝐹</a:t>
              </a:r>
              <a:endParaRPr lang="de-DE" sz="1100"/>
            </a:p>
          </xdr:txBody>
        </xdr:sp>
      </mc:Fallback>
    </mc:AlternateContent>
    <xdr:clientData/>
  </xdr:oneCellAnchor>
  <xdr:oneCellAnchor>
    <xdr:from>
      <xdr:col>1</xdr:col>
      <xdr:colOff>0</xdr:colOff>
      <xdr:row>75</xdr:row>
      <xdr:rowOff>8283</xdr:rowOff>
    </xdr:from>
    <xdr:ext cx="1252715" cy="172227"/>
    <mc:AlternateContent xmlns:mc="http://schemas.openxmlformats.org/markup-compatibility/2006" xmlns:a14="http://schemas.microsoft.com/office/drawing/2010/main">
      <mc:Choice Requires="a14">
        <xdr:sp macro="" textlink="">
          <xdr:nvSpPr>
            <xdr:cNvPr id="16" name="Textfeld 15">
              <a:extLst>
                <a:ext uri="{FF2B5EF4-FFF2-40B4-BE49-F238E27FC236}">
                  <a16:creationId xmlns:a16="http://schemas.microsoft.com/office/drawing/2014/main" id="{5D882347-3994-4FB8-85D3-66EC45135AB5}"/>
                </a:ext>
              </a:extLst>
            </xdr:cNvPr>
            <xdr:cNvSpPr txBox="1"/>
          </xdr:nvSpPr>
          <xdr:spPr>
            <a:xfrm>
              <a:off x="762000" y="15724533"/>
              <a:ext cx="125271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𝑆𝑡</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𝑔</m:t>
                    </m:r>
                    <m:r>
                      <a:rPr lang="de-DE" sz="1100" b="0" i="1">
                        <a:latin typeface="Cambria Math" panose="02040503050406030204" pitchFamily="18" charset="0"/>
                      </a:rPr>
                      <m:t>∗</m:t>
                    </m:r>
                    <m:r>
                      <a:rPr lang="de-DE" sz="1100" b="0" i="1">
                        <a:latin typeface="Cambria Math" panose="02040503050406030204" pitchFamily="18" charset="0"/>
                      </a:rPr>
                      <m:t>𝑝</m:t>
                    </m:r>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oMath>
                </m:oMathPara>
              </a14:m>
              <a:endParaRPr lang="de-DE" sz="1100"/>
            </a:p>
          </xdr:txBody>
        </xdr:sp>
      </mc:Choice>
      <mc:Fallback xmlns="">
        <xdr:sp macro="" textlink="">
          <xdr:nvSpPr>
            <xdr:cNvPr id="16" name="Textfeld 15">
              <a:extLst>
                <a:ext uri="{FF2B5EF4-FFF2-40B4-BE49-F238E27FC236}">
                  <a16:creationId xmlns:a16="http://schemas.microsoft.com/office/drawing/2014/main" id="{5D882347-3994-4FB8-85D3-66EC45135AB5}"/>
                </a:ext>
              </a:extLst>
            </xdr:cNvPr>
            <xdr:cNvSpPr txBox="1"/>
          </xdr:nvSpPr>
          <xdr:spPr>
            <a:xfrm>
              <a:off x="762000" y="15724533"/>
              <a:ext cx="125271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𝑃_𝑆𝑡=𝑚∗𝑔∗𝑝∗𝑣_𝐹</a:t>
              </a:r>
              <a:endParaRPr lang="de-DE" sz="1100"/>
            </a:p>
          </xdr:txBody>
        </xdr:sp>
      </mc:Fallback>
    </mc:AlternateContent>
    <xdr:clientData/>
  </xdr:oneCellAnchor>
  <xdr:oneCellAnchor>
    <xdr:from>
      <xdr:col>1</xdr:col>
      <xdr:colOff>56321</xdr:colOff>
      <xdr:row>78</xdr:row>
      <xdr:rowOff>180561</xdr:rowOff>
    </xdr:from>
    <xdr:ext cx="1577163" cy="172227"/>
    <mc:AlternateContent xmlns:mc="http://schemas.openxmlformats.org/markup-compatibility/2006" xmlns:a14="http://schemas.microsoft.com/office/drawing/2010/main">
      <mc:Choice Requires="a14">
        <xdr:sp macro="" textlink="">
          <xdr:nvSpPr>
            <xdr:cNvPr id="17" name="Textfeld 16">
              <a:extLst>
                <a:ext uri="{FF2B5EF4-FFF2-40B4-BE49-F238E27FC236}">
                  <a16:creationId xmlns:a16="http://schemas.microsoft.com/office/drawing/2014/main" id="{F8E85E69-D62A-47F5-B582-C3CB22CDC78B}"/>
                </a:ext>
              </a:extLst>
            </xdr:cNvPr>
            <xdr:cNvSpPr txBox="1"/>
          </xdr:nvSpPr>
          <xdr:spPr>
            <a:xfrm>
              <a:off x="818321" y="16544511"/>
              <a:ext cx="157716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𝑁</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m:t>
                            </m:r>
                          </m:sub>
                        </m:sSub>
                        <m:r>
                          <a:rPr lang="de-DE" sz="1100" b="0" i="1">
                            <a:latin typeface="Cambria Math" panose="02040503050406030204" pitchFamily="18" charset="0"/>
                          </a:rPr>
                          <m:t>+</m:t>
                        </m:r>
                        <m:r>
                          <a:rPr lang="de-DE" sz="1100" b="0" i="1">
                            <a:latin typeface="Cambria Math" panose="02040503050406030204" pitchFamily="18" charset="0"/>
                          </a:rPr>
                          <m:t>𝑃</m:t>
                        </m:r>
                      </m:e>
                      <m:sub>
                        <m:r>
                          <a:rPr lang="de-DE" sz="1100" b="0" i="1">
                            <a:latin typeface="Cambria Math" panose="02040503050406030204" pitchFamily="18" charset="0"/>
                          </a:rPr>
                          <m:t>𝐿𝑊</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𝑅</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𝑆𝑡</m:t>
                        </m:r>
                      </m:sub>
                    </m:sSub>
                  </m:oMath>
                </m:oMathPara>
              </a14:m>
              <a:endParaRPr lang="de-DE" sz="1100"/>
            </a:p>
          </xdr:txBody>
        </xdr:sp>
      </mc:Choice>
      <mc:Fallback xmlns="">
        <xdr:sp macro="" textlink="">
          <xdr:nvSpPr>
            <xdr:cNvPr id="17" name="Textfeld 16">
              <a:extLst>
                <a:ext uri="{FF2B5EF4-FFF2-40B4-BE49-F238E27FC236}">
                  <a16:creationId xmlns:a16="http://schemas.microsoft.com/office/drawing/2014/main" id="{F8E85E69-D62A-47F5-B582-C3CB22CDC78B}"/>
                </a:ext>
              </a:extLst>
            </xdr:cNvPr>
            <xdr:cNvSpPr txBox="1"/>
          </xdr:nvSpPr>
          <xdr:spPr>
            <a:xfrm>
              <a:off x="818321" y="16544511"/>
              <a:ext cx="157716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𝑃_𝑁=〖𝑃_𝑆+𝑃〗_𝐿𝑊+𝑃_𝑅+𝑃_𝑆𝑡</a:t>
              </a:r>
              <a:endParaRPr lang="de-DE" sz="1100"/>
            </a:p>
          </xdr:txBody>
        </xdr:sp>
      </mc:Fallback>
    </mc:AlternateContent>
    <xdr:clientData/>
  </xdr:oneCellAnchor>
  <xdr:oneCellAnchor>
    <xdr:from>
      <xdr:col>1</xdr:col>
      <xdr:colOff>14908</xdr:colOff>
      <xdr:row>62</xdr:row>
      <xdr:rowOff>180560</xdr:rowOff>
    </xdr:from>
    <xdr:ext cx="1249701" cy="172227"/>
    <mc:AlternateContent xmlns:mc="http://schemas.openxmlformats.org/markup-compatibility/2006" xmlns:a14="http://schemas.microsoft.com/office/drawing/2010/main">
      <mc:Choice Requires="a14">
        <xdr:sp macro="" textlink="">
          <xdr:nvSpPr>
            <xdr:cNvPr id="18" name="Textfeld 17">
              <a:extLst>
                <a:ext uri="{FF2B5EF4-FFF2-40B4-BE49-F238E27FC236}">
                  <a16:creationId xmlns:a16="http://schemas.microsoft.com/office/drawing/2014/main" id="{4436C74D-2ADF-4B6C-A181-01845CB27D9F}"/>
                </a:ext>
              </a:extLst>
            </xdr:cNvPr>
            <xdr:cNvSpPr txBox="1"/>
          </xdr:nvSpPr>
          <xdr:spPr>
            <a:xfrm>
              <a:off x="776908" y="13182185"/>
              <a:ext cx="1249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𝑆</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𝑍</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𝑡h</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𝐹</m:t>
                        </m:r>
                      </m:sub>
                    </m:sSub>
                    <m:r>
                      <a:rPr lang="de-DE" sz="1100" b="0" i="1">
                        <a:latin typeface="Cambria Math" panose="02040503050406030204" pitchFamily="18" charset="0"/>
                      </a:rPr>
                      <m:t>)</m:t>
                    </m:r>
                  </m:oMath>
                </m:oMathPara>
              </a14:m>
              <a:endParaRPr lang="de-DE" sz="1100"/>
            </a:p>
          </xdr:txBody>
        </xdr:sp>
      </mc:Choice>
      <mc:Fallback xmlns="">
        <xdr:sp macro="" textlink="">
          <xdr:nvSpPr>
            <xdr:cNvPr id="18" name="Textfeld 17">
              <a:extLst>
                <a:ext uri="{FF2B5EF4-FFF2-40B4-BE49-F238E27FC236}">
                  <a16:creationId xmlns:a16="http://schemas.microsoft.com/office/drawing/2014/main" id="{4436C74D-2ADF-4B6C-A181-01845CB27D9F}"/>
                </a:ext>
              </a:extLst>
            </xdr:cNvPr>
            <xdr:cNvSpPr txBox="1"/>
          </xdr:nvSpPr>
          <xdr:spPr>
            <a:xfrm>
              <a:off x="776908" y="13182185"/>
              <a:ext cx="1249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𝑃_𝑆=𝐹_𝑍∗(𝑣_𝑡ℎ−𝑣_𝐹)</a:t>
              </a:r>
              <a:endParaRPr lang="de-DE" sz="1100"/>
            </a:p>
          </xdr:txBody>
        </xdr:sp>
      </mc:Fallback>
    </mc:AlternateContent>
    <xdr:clientData/>
  </xdr:oneCellAnchor>
  <xdr:oneCellAnchor>
    <xdr:from>
      <xdr:col>1</xdr:col>
      <xdr:colOff>52179</xdr:colOff>
      <xdr:row>86</xdr:row>
      <xdr:rowOff>188843</xdr:rowOff>
    </xdr:from>
    <xdr:ext cx="1251818" cy="172227"/>
    <mc:AlternateContent xmlns:mc="http://schemas.openxmlformats.org/markup-compatibility/2006" xmlns:a14="http://schemas.microsoft.com/office/drawing/2010/main">
      <mc:Choice Requires="a14">
        <xdr:sp macro="" textlink="">
          <xdr:nvSpPr>
            <xdr:cNvPr id="19" name="Textfeld 18">
              <a:extLst>
                <a:ext uri="{FF2B5EF4-FFF2-40B4-BE49-F238E27FC236}">
                  <a16:creationId xmlns:a16="http://schemas.microsoft.com/office/drawing/2014/main" id="{D83AE29D-0693-431C-AEE5-D35495E45299}"/>
                </a:ext>
              </a:extLst>
            </xdr:cNvPr>
            <xdr:cNvSpPr txBox="1"/>
          </xdr:nvSpPr>
          <xdr:spPr>
            <a:xfrm>
              <a:off x="814179" y="18229193"/>
              <a:ext cx="1251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𝑉𝑇</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𝑒</m:t>
                        </m:r>
                      </m:sub>
                    </m:sSub>
                    <m:r>
                      <a:rPr lang="de-DE" sz="1100" b="0" i="1">
                        <a:latin typeface="Cambria Math" panose="02040503050406030204" pitchFamily="18" charset="0"/>
                      </a:rPr>
                      <m:t>∗(1−</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r>
                      <a:rPr lang="de-DE" sz="1100" b="0" i="1">
                        <a:latin typeface="Cambria Math" panose="02040503050406030204" pitchFamily="18" charset="0"/>
                      </a:rPr>
                      <m:t>)</m:t>
                    </m:r>
                  </m:oMath>
                </m:oMathPara>
              </a14:m>
              <a:endParaRPr lang="de-DE" sz="1100"/>
            </a:p>
          </xdr:txBody>
        </xdr:sp>
      </mc:Choice>
      <mc:Fallback xmlns="">
        <xdr:sp macro="" textlink="">
          <xdr:nvSpPr>
            <xdr:cNvPr id="19" name="Textfeld 18">
              <a:extLst>
                <a:ext uri="{FF2B5EF4-FFF2-40B4-BE49-F238E27FC236}">
                  <a16:creationId xmlns:a16="http://schemas.microsoft.com/office/drawing/2014/main" id="{D83AE29D-0693-431C-AEE5-D35495E45299}"/>
                </a:ext>
              </a:extLst>
            </xdr:cNvPr>
            <xdr:cNvSpPr txBox="1"/>
          </xdr:nvSpPr>
          <xdr:spPr>
            <a:xfrm>
              <a:off x="814179" y="18229193"/>
              <a:ext cx="12518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𝑃_𝑉𝑇=𝑃_𝑒∗(1−</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a:t>
              </a:r>
              <a:endParaRPr lang="de-DE" sz="1100"/>
            </a:p>
          </xdr:txBody>
        </xdr:sp>
      </mc:Fallback>
    </mc:AlternateContent>
    <xdr:clientData/>
  </xdr:oneCellAnchor>
  <xdr:oneCellAnchor>
    <xdr:from>
      <xdr:col>1</xdr:col>
      <xdr:colOff>0</xdr:colOff>
      <xdr:row>83</xdr:row>
      <xdr:rowOff>0</xdr:rowOff>
    </xdr:from>
    <xdr:ext cx="773737" cy="172227"/>
    <mc:AlternateContent xmlns:mc="http://schemas.openxmlformats.org/markup-compatibility/2006" xmlns:a14="http://schemas.microsoft.com/office/drawing/2010/main">
      <mc:Choice Requires="a14">
        <xdr:sp macro="" textlink="">
          <xdr:nvSpPr>
            <xdr:cNvPr id="20" name="Textfeld 19">
              <a:extLst>
                <a:ext uri="{FF2B5EF4-FFF2-40B4-BE49-F238E27FC236}">
                  <a16:creationId xmlns:a16="http://schemas.microsoft.com/office/drawing/2014/main" id="{1EF1929B-2387-4DAF-BAC2-5D82BF349D62}"/>
                </a:ext>
              </a:extLst>
            </xdr:cNvPr>
            <xdr:cNvSpPr txBox="1"/>
          </xdr:nvSpPr>
          <xdr:spPr>
            <a:xfrm>
              <a:off x="762000" y="17392650"/>
              <a:ext cx="7737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𝑒</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𝑃</m:t>
                        </m:r>
                      </m:e>
                      <m:sub>
                        <m:r>
                          <a:rPr lang="de-DE" sz="1100" b="0" i="1">
                            <a:latin typeface="Cambria Math" panose="02040503050406030204" pitchFamily="18" charset="0"/>
                          </a:rPr>
                          <m:t>𝑁</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ea typeface="Cambria Math" panose="02040503050406030204" pitchFamily="18" charset="0"/>
                          </a:rPr>
                          <m:t>𝜂</m:t>
                        </m:r>
                      </m:e>
                      <m:sub>
                        <m:r>
                          <a:rPr lang="de-DE" sz="1100" b="0" i="1">
                            <a:latin typeface="Cambria Math" panose="02040503050406030204" pitchFamily="18" charset="0"/>
                          </a:rPr>
                          <m:t>𝑇𝑟</m:t>
                        </m:r>
                      </m:sub>
                    </m:sSub>
                  </m:oMath>
                </m:oMathPara>
              </a14:m>
              <a:endParaRPr lang="de-DE" sz="1100"/>
            </a:p>
          </xdr:txBody>
        </xdr:sp>
      </mc:Choice>
      <mc:Fallback xmlns="">
        <xdr:sp macro="" textlink="">
          <xdr:nvSpPr>
            <xdr:cNvPr id="20" name="Textfeld 19">
              <a:extLst>
                <a:ext uri="{FF2B5EF4-FFF2-40B4-BE49-F238E27FC236}">
                  <a16:creationId xmlns:a16="http://schemas.microsoft.com/office/drawing/2014/main" id="{1EF1929B-2387-4DAF-BAC2-5D82BF349D62}"/>
                </a:ext>
              </a:extLst>
            </xdr:cNvPr>
            <xdr:cNvSpPr txBox="1"/>
          </xdr:nvSpPr>
          <xdr:spPr>
            <a:xfrm>
              <a:off x="762000" y="17392650"/>
              <a:ext cx="7737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𝑃_𝑒=𝑃_𝑁/</a:t>
              </a:r>
              <a:r>
                <a:rPr lang="de-DE" sz="1100" b="0" i="0">
                  <a:latin typeface="Cambria Math" panose="02040503050406030204" pitchFamily="18" charset="0"/>
                  <a:ea typeface="Cambria Math" panose="02040503050406030204" pitchFamily="18" charset="0"/>
                </a:rPr>
                <a:t>𝜂_</a:t>
              </a:r>
              <a:r>
                <a:rPr lang="de-DE" sz="1100" b="0" i="0">
                  <a:latin typeface="Cambria Math" panose="02040503050406030204" pitchFamily="18" charset="0"/>
                </a:rPr>
                <a:t>𝑇𝑟</a:t>
              </a:r>
              <a:endParaRPr lang="de-DE" sz="1100"/>
            </a:p>
          </xdr:txBody>
        </xdr:sp>
      </mc:Fallback>
    </mc:AlternateContent>
    <xdr:clientData/>
  </xdr:oneCellAnchor>
  <xdr:oneCellAnchor>
    <xdr:from>
      <xdr:col>2</xdr:col>
      <xdr:colOff>122583</xdr:colOff>
      <xdr:row>37</xdr:row>
      <xdr:rowOff>23191</xdr:rowOff>
    </xdr:from>
    <xdr:ext cx="1243866" cy="172227"/>
    <mc:AlternateContent xmlns:mc="http://schemas.openxmlformats.org/markup-compatibility/2006" xmlns:a14="http://schemas.microsoft.com/office/drawing/2010/main">
      <mc:Choice Requires="a14">
        <xdr:sp macro="" textlink="">
          <xdr:nvSpPr>
            <xdr:cNvPr id="21" name="Textfeld 20">
              <a:extLst>
                <a:ext uri="{FF2B5EF4-FFF2-40B4-BE49-F238E27FC236}">
                  <a16:creationId xmlns:a16="http://schemas.microsoft.com/office/drawing/2014/main" id="{D87DC7FD-8832-4B67-9D0E-6F015C0B9C43}"/>
                </a:ext>
              </a:extLst>
            </xdr:cNvPr>
            <xdr:cNvSpPr txBox="1"/>
          </xdr:nvSpPr>
          <xdr:spPr>
            <a:xfrm>
              <a:off x="1703733" y="7824166"/>
              <a:ext cx="124386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𝐹</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 </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𝜆</m:t>
                        </m:r>
                      </m:e>
                      <m:sub>
                        <m:r>
                          <a:rPr lang="de-DE" sz="1100" b="0" i="1">
                            <a:solidFill>
                              <a:schemeClr val="tx1"/>
                            </a:solidFill>
                            <a:effectLst/>
                            <a:latin typeface="Cambria Math" panose="02040503050406030204" pitchFamily="18" charset="0"/>
                            <a:ea typeface="+mn-ea"/>
                            <a:cs typeface="+mn-cs"/>
                          </a:rPr>
                          <m:t>𝐴</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 </m:t>
                    </m:r>
                  </m:oMath>
                </m:oMathPara>
              </a14:m>
              <a:endParaRPr lang="de-DE" sz="1100"/>
            </a:p>
          </xdr:txBody>
        </xdr:sp>
      </mc:Choice>
      <mc:Fallback xmlns="">
        <xdr:sp macro="" textlink="">
          <xdr:nvSpPr>
            <xdr:cNvPr id="21" name="Textfeld 20">
              <a:extLst>
                <a:ext uri="{FF2B5EF4-FFF2-40B4-BE49-F238E27FC236}">
                  <a16:creationId xmlns:a16="http://schemas.microsoft.com/office/drawing/2014/main" id="{D87DC7FD-8832-4B67-9D0E-6F015C0B9C43}"/>
                </a:ext>
              </a:extLst>
            </xdr:cNvPr>
            <xdr:cNvSpPr txBox="1"/>
          </xdr:nvSpPr>
          <xdr:spPr>
            <a:xfrm>
              <a:off x="1703733" y="7824166"/>
              <a:ext cx="124386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solidFill>
                    <a:schemeClr val="tx1"/>
                  </a:solidFill>
                  <a:effectLst/>
                  <a:latin typeface="Cambria Math" panose="02040503050406030204" pitchFamily="18" charset="0"/>
                  <a:ea typeface="+mn-ea"/>
                  <a:cs typeface="+mn-cs"/>
                </a:rPr>
                <a:t>𝑣_𝐹</a:t>
              </a: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𝑣_𝑡ℎ− </a:t>
              </a:r>
              <a:r>
                <a:rPr lang="de-DE" sz="1100" i="0">
                  <a:solidFill>
                    <a:schemeClr val="tx1"/>
                  </a:solidFill>
                  <a:effectLst/>
                  <a:latin typeface="Cambria Math" panose="02040503050406030204" pitchFamily="18" charset="0"/>
                  <a:ea typeface="+mn-ea"/>
                  <a:cs typeface="+mn-cs"/>
                </a:rPr>
                <a:t>𝜆_</a:t>
              </a:r>
              <a:r>
                <a:rPr lang="de-DE" sz="1100" b="0" i="0">
                  <a:solidFill>
                    <a:schemeClr val="tx1"/>
                  </a:solidFill>
                  <a:effectLst/>
                  <a:latin typeface="Cambria Math" panose="02040503050406030204" pitchFamily="18" charset="0"/>
                  <a:ea typeface="+mn-ea"/>
                  <a:cs typeface="+mn-cs"/>
                </a:rPr>
                <a:t>𝐴∗𝑣_𝑡ℎ  </a:t>
              </a:r>
              <a:endParaRPr lang="de-DE" sz="1100"/>
            </a:p>
          </xdr:txBody>
        </xdr:sp>
      </mc:Fallback>
    </mc:AlternateContent>
    <xdr:clientData/>
  </xdr:oneCellAnchor>
  <xdr:oneCellAnchor>
    <xdr:from>
      <xdr:col>3</xdr:col>
      <xdr:colOff>432353</xdr:colOff>
      <xdr:row>37</xdr:row>
      <xdr:rowOff>34786</xdr:rowOff>
    </xdr:from>
    <xdr:ext cx="1127488" cy="172227"/>
    <mc:AlternateContent xmlns:mc="http://schemas.openxmlformats.org/markup-compatibility/2006" xmlns:a14="http://schemas.microsoft.com/office/drawing/2010/main">
      <mc:Choice Requires="a14">
        <xdr:sp macro="" textlink="">
          <xdr:nvSpPr>
            <xdr:cNvPr id="22" name="Textfeld 21">
              <a:extLst>
                <a:ext uri="{FF2B5EF4-FFF2-40B4-BE49-F238E27FC236}">
                  <a16:creationId xmlns:a16="http://schemas.microsoft.com/office/drawing/2014/main" id="{A9328FFF-BBC5-4BEB-8B1C-E0EB77E8BFD5}"/>
                </a:ext>
              </a:extLst>
            </xdr:cNvPr>
            <xdr:cNvSpPr txBox="1"/>
          </xdr:nvSpPr>
          <xdr:spPr>
            <a:xfrm>
              <a:off x="3146978" y="7835761"/>
              <a:ext cx="112748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𝐹</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𝑡h</m:t>
                        </m:r>
                      </m:sub>
                    </m:sSub>
                    <m:r>
                      <a:rPr lang="de-DE" sz="1100" b="0" i="1">
                        <a:solidFill>
                          <a:schemeClr val="tx1"/>
                        </a:solidFill>
                        <a:effectLst/>
                        <a:latin typeface="Cambria Math" panose="02040503050406030204" pitchFamily="18" charset="0"/>
                        <a:ea typeface="+mn-ea"/>
                        <a:cs typeface="+mn-cs"/>
                      </a:rPr>
                      <m:t>(1− </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𝜆</m:t>
                        </m:r>
                      </m:e>
                      <m:sub>
                        <m:r>
                          <a:rPr lang="de-DE" sz="1100" b="0" i="1">
                            <a:solidFill>
                              <a:schemeClr val="tx1"/>
                            </a:solidFill>
                            <a:effectLst/>
                            <a:latin typeface="Cambria Math" panose="02040503050406030204" pitchFamily="18" charset="0"/>
                            <a:ea typeface="+mn-ea"/>
                            <a:cs typeface="+mn-cs"/>
                          </a:rPr>
                          <m:t>𝐴</m:t>
                        </m:r>
                      </m:sub>
                    </m:sSub>
                    <m:r>
                      <a:rPr lang="de-DE" sz="1100" b="0" i="1">
                        <a:solidFill>
                          <a:schemeClr val="tx1"/>
                        </a:solidFill>
                        <a:effectLst/>
                        <a:latin typeface="Cambria Math" panose="02040503050406030204" pitchFamily="18" charset="0"/>
                        <a:ea typeface="+mn-ea"/>
                        <a:cs typeface="+mn-cs"/>
                      </a:rPr>
                      <m:t>) </m:t>
                    </m:r>
                  </m:oMath>
                </m:oMathPara>
              </a14:m>
              <a:endParaRPr lang="de-DE" sz="1100"/>
            </a:p>
          </xdr:txBody>
        </xdr:sp>
      </mc:Choice>
      <mc:Fallback xmlns="">
        <xdr:sp macro="" textlink="">
          <xdr:nvSpPr>
            <xdr:cNvPr id="22" name="Textfeld 21">
              <a:extLst>
                <a:ext uri="{FF2B5EF4-FFF2-40B4-BE49-F238E27FC236}">
                  <a16:creationId xmlns:a16="http://schemas.microsoft.com/office/drawing/2014/main" id="{A9328FFF-BBC5-4BEB-8B1C-E0EB77E8BFD5}"/>
                </a:ext>
              </a:extLst>
            </xdr:cNvPr>
            <xdr:cNvSpPr txBox="1"/>
          </xdr:nvSpPr>
          <xdr:spPr>
            <a:xfrm>
              <a:off x="3146978" y="7835761"/>
              <a:ext cx="112748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solidFill>
                    <a:schemeClr val="tx1"/>
                  </a:solidFill>
                  <a:effectLst/>
                  <a:latin typeface="Cambria Math" panose="02040503050406030204" pitchFamily="18" charset="0"/>
                  <a:ea typeface="+mn-ea"/>
                  <a:cs typeface="+mn-cs"/>
                </a:rPr>
                <a:t>𝑣_𝐹</a:t>
              </a:r>
              <a:r>
                <a:rPr lang="de-DE" sz="11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𝑣_𝑡ℎ (1− </a:t>
              </a:r>
              <a:r>
                <a:rPr lang="de-DE" sz="1100" i="0">
                  <a:solidFill>
                    <a:schemeClr val="tx1"/>
                  </a:solidFill>
                  <a:effectLst/>
                  <a:latin typeface="Cambria Math" panose="02040503050406030204" pitchFamily="18" charset="0"/>
                  <a:ea typeface="+mn-ea"/>
                  <a:cs typeface="+mn-cs"/>
                </a:rPr>
                <a:t>𝜆_</a:t>
              </a:r>
              <a:r>
                <a:rPr lang="de-DE" sz="1100" b="0" i="0">
                  <a:solidFill>
                    <a:schemeClr val="tx1"/>
                  </a:solidFill>
                  <a:effectLst/>
                  <a:latin typeface="Cambria Math" panose="02040503050406030204" pitchFamily="18" charset="0"/>
                  <a:ea typeface="+mn-ea"/>
                  <a:cs typeface="+mn-cs"/>
                </a:rPr>
                <a:t>𝐴) </a:t>
              </a:r>
              <a:endParaRPr lang="de-DE"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twoCellAnchor>
    <xdr:from>
      <xdr:col>4</xdr:col>
      <xdr:colOff>695324</xdr:colOff>
      <xdr:row>0</xdr:row>
      <xdr:rowOff>142875</xdr:rowOff>
    </xdr:from>
    <xdr:to>
      <xdr:col>12</xdr:col>
      <xdr:colOff>590549</xdr:colOff>
      <xdr:row>23</xdr:row>
      <xdr:rowOff>42862</xdr:rowOff>
    </xdr:to>
    <xdr:graphicFrame macro="">
      <xdr:nvGraphicFramePr>
        <xdr:cNvPr id="2" name="Diagramm 1">
          <a:extLst>
            <a:ext uri="{FF2B5EF4-FFF2-40B4-BE49-F238E27FC236}">
              <a16:creationId xmlns:a16="http://schemas.microsoft.com/office/drawing/2014/main" id="{28280B28-ACE8-4532-8281-1CD915C01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361951</xdr:colOff>
      <xdr:row>27</xdr:row>
      <xdr:rowOff>23811</xdr:rowOff>
    </xdr:from>
    <xdr:to>
      <xdr:col>10</xdr:col>
      <xdr:colOff>190501</xdr:colOff>
      <xdr:row>52</xdr:row>
      <xdr:rowOff>9524</xdr:rowOff>
    </xdr:to>
    <xdr:graphicFrame macro="">
      <xdr:nvGraphicFramePr>
        <xdr:cNvPr id="3" name="Diagramm 2">
          <a:extLst>
            <a:ext uri="{FF2B5EF4-FFF2-40B4-BE49-F238E27FC236}">
              <a16:creationId xmlns:a16="http://schemas.microsoft.com/office/drawing/2014/main" id="{EAD20C47-FF37-4C3B-8A1C-788FCBE8E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317915</xdr:colOff>
      <xdr:row>14</xdr:row>
      <xdr:rowOff>99391</xdr:rowOff>
    </xdr:from>
    <xdr:to>
      <xdr:col>7</xdr:col>
      <xdr:colOff>306456</xdr:colOff>
      <xdr:row>21</xdr:row>
      <xdr:rowOff>147209</xdr:rowOff>
    </xdr:to>
    <xdr:pic>
      <xdr:nvPicPr>
        <xdr:cNvPr id="34" name="Grafik 33">
          <a:extLst>
            <a:ext uri="{FF2B5EF4-FFF2-40B4-BE49-F238E27FC236}">
              <a16:creationId xmlns:a16="http://schemas.microsoft.com/office/drawing/2014/main" id="{8E8D22C4-C96A-79DB-E9E4-A7E3E37F6E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flipH="1">
          <a:off x="1079915" y="2807804"/>
          <a:ext cx="4726193" cy="1381318"/>
        </a:xfrm>
        <a:prstGeom prst="rect">
          <a:avLst/>
        </a:prstGeom>
      </xdr:spPr>
    </xdr:pic>
    <xdr:clientData/>
  </xdr:twoCellAnchor>
  <xdr:twoCellAnchor>
    <xdr:from>
      <xdr:col>2</xdr:col>
      <xdr:colOff>361950</xdr:colOff>
      <xdr:row>21</xdr:row>
      <xdr:rowOff>171451</xdr:rowOff>
    </xdr:from>
    <xdr:to>
      <xdr:col>2</xdr:col>
      <xdr:colOff>361950</xdr:colOff>
      <xdr:row>28</xdr:row>
      <xdr:rowOff>180975</xdr:rowOff>
    </xdr:to>
    <xdr:cxnSp macro="">
      <xdr:nvCxnSpPr>
        <xdr:cNvPr id="3" name="Gerade Verbindung mit Pfeil 2">
          <a:extLst>
            <a:ext uri="{FF2B5EF4-FFF2-40B4-BE49-F238E27FC236}">
              <a16:creationId xmlns:a16="http://schemas.microsoft.com/office/drawing/2014/main" id="{82720256-91F7-4175-9BD0-6A12C0F5EB05}"/>
            </a:ext>
          </a:extLst>
        </xdr:cNvPr>
        <xdr:cNvCxnSpPr/>
      </xdr:nvCxnSpPr>
      <xdr:spPr>
        <a:xfrm flipV="1">
          <a:off x="1885950" y="4248151"/>
          <a:ext cx="0" cy="1343024"/>
        </a:xfrm>
        <a:prstGeom prst="straightConnector1">
          <a:avLst/>
        </a:prstGeom>
        <a:ln w="254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838200</xdr:colOff>
      <xdr:row>21</xdr:row>
      <xdr:rowOff>142876</xdr:rowOff>
    </xdr:from>
    <xdr:to>
      <xdr:col>5</xdr:col>
      <xdr:colOff>838200</xdr:colOff>
      <xdr:row>29</xdr:row>
      <xdr:rowOff>9525</xdr:rowOff>
    </xdr:to>
    <xdr:cxnSp macro="">
      <xdr:nvCxnSpPr>
        <xdr:cNvPr id="4" name="Gerade Verbindung mit Pfeil 3">
          <a:extLst>
            <a:ext uri="{FF2B5EF4-FFF2-40B4-BE49-F238E27FC236}">
              <a16:creationId xmlns:a16="http://schemas.microsoft.com/office/drawing/2014/main" id="{F3F5786A-0EEF-45B8-A21E-507BA102EF2B}"/>
            </a:ext>
          </a:extLst>
        </xdr:cNvPr>
        <xdr:cNvCxnSpPr/>
      </xdr:nvCxnSpPr>
      <xdr:spPr>
        <a:xfrm flipV="1">
          <a:off x="4648200" y="4219576"/>
          <a:ext cx="0" cy="1390649"/>
        </a:xfrm>
        <a:prstGeom prst="straightConnector1">
          <a:avLst/>
        </a:prstGeom>
        <a:ln w="254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476183</xdr:colOff>
      <xdr:row>19</xdr:row>
      <xdr:rowOff>9525</xdr:rowOff>
    </xdr:from>
    <xdr:to>
      <xdr:col>4</xdr:col>
      <xdr:colOff>498544</xdr:colOff>
      <xdr:row>28</xdr:row>
      <xdr:rowOff>133350</xdr:rowOff>
    </xdr:to>
    <xdr:cxnSp macro="">
      <xdr:nvCxnSpPr>
        <xdr:cNvPr id="5" name="Gerade Verbindung mit Pfeil 4">
          <a:extLst>
            <a:ext uri="{FF2B5EF4-FFF2-40B4-BE49-F238E27FC236}">
              <a16:creationId xmlns:a16="http://schemas.microsoft.com/office/drawing/2014/main" id="{DD847764-7F9C-4D80-8773-11D6DA66FE32}"/>
            </a:ext>
          </a:extLst>
        </xdr:cNvPr>
        <xdr:cNvCxnSpPr/>
      </xdr:nvCxnSpPr>
      <xdr:spPr>
        <a:xfrm>
          <a:off x="3524183" y="3705225"/>
          <a:ext cx="22361" cy="1838325"/>
        </a:xfrm>
        <a:prstGeom prst="straightConnector1">
          <a:avLst/>
        </a:prstGeom>
        <a:ln w="25400">
          <a:gradFill>
            <a:gsLst>
              <a:gs pos="50000">
                <a:schemeClr val="tx1"/>
              </a:gs>
              <a:gs pos="0">
                <a:schemeClr val="tx1"/>
              </a:gs>
              <a:gs pos="100000">
                <a:schemeClr val="tx1"/>
              </a:gs>
            </a:gsLst>
            <a:lin ang="5400000" scaled="1"/>
          </a:gradFill>
          <a:headEnd type="ova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612912</xdr:colOff>
      <xdr:row>16</xdr:row>
      <xdr:rowOff>16565</xdr:rowOff>
    </xdr:from>
    <xdr:to>
      <xdr:col>7</xdr:col>
      <xdr:colOff>438978</xdr:colOff>
      <xdr:row>16</xdr:row>
      <xdr:rowOff>16565</xdr:rowOff>
    </xdr:to>
    <xdr:cxnSp macro="">
      <xdr:nvCxnSpPr>
        <xdr:cNvPr id="6" name="Gerade Verbindung mit Pfeil 5">
          <a:extLst>
            <a:ext uri="{FF2B5EF4-FFF2-40B4-BE49-F238E27FC236}">
              <a16:creationId xmlns:a16="http://schemas.microsoft.com/office/drawing/2014/main" id="{9BAEED54-7368-4999-A901-381637A8EE59}"/>
            </a:ext>
          </a:extLst>
        </xdr:cNvPr>
        <xdr:cNvCxnSpPr/>
      </xdr:nvCxnSpPr>
      <xdr:spPr>
        <a:xfrm flipH="1">
          <a:off x="4422912" y="3105978"/>
          <a:ext cx="1515718" cy="0"/>
        </a:xfrm>
        <a:prstGeom prst="straightConnector1">
          <a:avLst/>
        </a:prstGeom>
        <a:ln w="254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138097</xdr:colOff>
      <xdr:row>14</xdr:row>
      <xdr:rowOff>10960</xdr:rowOff>
    </xdr:from>
    <xdr:to>
      <xdr:col>6</xdr:col>
      <xdr:colOff>614347</xdr:colOff>
      <xdr:row>15</xdr:row>
      <xdr:rowOff>153834</xdr:rowOff>
    </xdr:to>
    <xdr:sp macro="" textlink="">
      <xdr:nvSpPr>
        <xdr:cNvPr id="7" name="Textfeld 6">
          <a:extLst>
            <a:ext uri="{FF2B5EF4-FFF2-40B4-BE49-F238E27FC236}">
              <a16:creationId xmlns:a16="http://schemas.microsoft.com/office/drawing/2014/main" id="{2630C672-1DF9-45B6-BFBE-9C19C5ECCDBE}"/>
            </a:ext>
          </a:extLst>
        </xdr:cNvPr>
        <xdr:cNvSpPr txBox="1"/>
      </xdr:nvSpPr>
      <xdr:spPr>
        <a:xfrm>
          <a:off x="4805347" y="2714595"/>
          <a:ext cx="476250" cy="33337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LW</a:t>
          </a:r>
          <a:endParaRPr lang="de-DE" sz="1800"/>
        </a:p>
      </xdr:txBody>
    </xdr:sp>
    <xdr:clientData/>
  </xdr:twoCellAnchor>
  <xdr:twoCellAnchor>
    <xdr:from>
      <xdr:col>2</xdr:col>
      <xdr:colOff>171450</xdr:colOff>
      <xdr:row>29</xdr:row>
      <xdr:rowOff>19051</xdr:rowOff>
    </xdr:from>
    <xdr:to>
      <xdr:col>2</xdr:col>
      <xdr:colOff>647700</xdr:colOff>
      <xdr:row>30</xdr:row>
      <xdr:rowOff>161925</xdr:rowOff>
    </xdr:to>
    <xdr:sp macro="" textlink="">
      <xdr:nvSpPr>
        <xdr:cNvPr id="8" name="Textfeld 7">
          <a:extLst>
            <a:ext uri="{FF2B5EF4-FFF2-40B4-BE49-F238E27FC236}">
              <a16:creationId xmlns:a16="http://schemas.microsoft.com/office/drawing/2014/main" id="{7D4C5EE6-E65A-458E-8DAA-2E1680D36E6B}"/>
            </a:ext>
          </a:extLst>
        </xdr:cNvPr>
        <xdr:cNvSpPr txBox="1"/>
      </xdr:nvSpPr>
      <xdr:spPr>
        <a:xfrm>
          <a:off x="1695450" y="5619751"/>
          <a:ext cx="476250" cy="33337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Nh</a:t>
          </a:r>
          <a:endParaRPr lang="de-DE" sz="1800"/>
        </a:p>
      </xdr:txBody>
    </xdr:sp>
    <xdr:clientData/>
  </xdr:twoCellAnchor>
  <xdr:twoCellAnchor>
    <xdr:from>
      <xdr:col>5</xdr:col>
      <xdr:colOff>676275</xdr:colOff>
      <xdr:row>29</xdr:row>
      <xdr:rowOff>19051</xdr:rowOff>
    </xdr:from>
    <xdr:to>
      <xdr:col>6</xdr:col>
      <xdr:colOff>238125</xdr:colOff>
      <xdr:row>30</xdr:row>
      <xdr:rowOff>161925</xdr:rowOff>
    </xdr:to>
    <xdr:sp macro="" textlink="">
      <xdr:nvSpPr>
        <xdr:cNvPr id="9" name="Textfeld 8">
          <a:extLst>
            <a:ext uri="{FF2B5EF4-FFF2-40B4-BE49-F238E27FC236}">
              <a16:creationId xmlns:a16="http://schemas.microsoft.com/office/drawing/2014/main" id="{F1B6D437-347B-4FCE-9C6D-510574637461}"/>
            </a:ext>
          </a:extLst>
        </xdr:cNvPr>
        <xdr:cNvSpPr txBox="1"/>
      </xdr:nvSpPr>
      <xdr:spPr>
        <a:xfrm>
          <a:off x="4486275" y="5619751"/>
          <a:ext cx="419100" cy="33337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Nv</a:t>
          </a:r>
          <a:endParaRPr lang="de-DE" sz="1800"/>
        </a:p>
      </xdr:txBody>
    </xdr:sp>
    <xdr:clientData/>
  </xdr:twoCellAnchor>
  <xdr:twoCellAnchor>
    <xdr:from>
      <xdr:col>4</xdr:col>
      <xdr:colOff>214934</xdr:colOff>
      <xdr:row>18</xdr:row>
      <xdr:rowOff>186773</xdr:rowOff>
    </xdr:from>
    <xdr:to>
      <xdr:col>4</xdr:col>
      <xdr:colOff>224459</xdr:colOff>
      <xdr:row>21</xdr:row>
      <xdr:rowOff>148673</xdr:rowOff>
    </xdr:to>
    <xdr:cxnSp macro="">
      <xdr:nvCxnSpPr>
        <xdr:cNvPr id="10" name="Gerade Verbindung mit Pfeil 9">
          <a:extLst>
            <a:ext uri="{FF2B5EF4-FFF2-40B4-BE49-F238E27FC236}">
              <a16:creationId xmlns:a16="http://schemas.microsoft.com/office/drawing/2014/main" id="{EFEBD2B0-FAF4-4D74-8FA9-7523738FDC34}"/>
            </a:ext>
          </a:extLst>
        </xdr:cNvPr>
        <xdr:cNvCxnSpPr/>
      </xdr:nvCxnSpPr>
      <xdr:spPr>
        <a:xfrm flipH="1">
          <a:off x="3262934" y="3657186"/>
          <a:ext cx="9525" cy="533400"/>
        </a:xfrm>
        <a:prstGeom prst="straightConnector1">
          <a:avLst/>
        </a:prstGeom>
        <a:ln w="15875">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409575</xdr:colOff>
      <xdr:row>24</xdr:row>
      <xdr:rowOff>38100</xdr:rowOff>
    </xdr:from>
    <xdr:to>
      <xdr:col>4</xdr:col>
      <xdr:colOff>466725</xdr:colOff>
      <xdr:row>24</xdr:row>
      <xdr:rowOff>38100</xdr:rowOff>
    </xdr:to>
    <xdr:cxnSp macro="">
      <xdr:nvCxnSpPr>
        <xdr:cNvPr id="11" name="Gerade Verbindung mit Pfeil 10">
          <a:extLst>
            <a:ext uri="{FF2B5EF4-FFF2-40B4-BE49-F238E27FC236}">
              <a16:creationId xmlns:a16="http://schemas.microsoft.com/office/drawing/2014/main" id="{BFFEF7D8-6D5E-415B-ADEB-400EC2C71237}"/>
            </a:ext>
          </a:extLst>
        </xdr:cNvPr>
        <xdr:cNvCxnSpPr/>
      </xdr:nvCxnSpPr>
      <xdr:spPr>
        <a:xfrm>
          <a:off x="1933575" y="4686300"/>
          <a:ext cx="1581150" cy="0"/>
        </a:xfrm>
        <a:prstGeom prst="straightConnector1">
          <a:avLst/>
        </a:prstGeom>
        <a:ln w="15875">
          <a:solidFill>
            <a:srgbClr val="00B05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501510</xdr:colOff>
      <xdr:row>24</xdr:row>
      <xdr:rowOff>45142</xdr:rowOff>
    </xdr:from>
    <xdr:to>
      <xdr:col>5</xdr:col>
      <xdr:colOff>839026</xdr:colOff>
      <xdr:row>24</xdr:row>
      <xdr:rowOff>45142</xdr:rowOff>
    </xdr:to>
    <xdr:cxnSp macro="">
      <xdr:nvCxnSpPr>
        <xdr:cNvPr id="12" name="Gerade Verbindung mit Pfeil 11">
          <a:extLst>
            <a:ext uri="{FF2B5EF4-FFF2-40B4-BE49-F238E27FC236}">
              <a16:creationId xmlns:a16="http://schemas.microsoft.com/office/drawing/2014/main" id="{27C0F13B-7E7A-4552-8368-DE0E2AF63317}"/>
            </a:ext>
          </a:extLst>
        </xdr:cNvPr>
        <xdr:cNvCxnSpPr/>
      </xdr:nvCxnSpPr>
      <xdr:spPr>
        <a:xfrm>
          <a:off x="3549510" y="4693342"/>
          <a:ext cx="1099516" cy="0"/>
        </a:xfrm>
        <a:prstGeom prst="straightConnector1">
          <a:avLst/>
        </a:prstGeom>
        <a:ln w="15875">
          <a:solidFill>
            <a:srgbClr val="00B05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400050</xdr:colOff>
      <xdr:row>26</xdr:row>
      <xdr:rowOff>28575</xdr:rowOff>
    </xdr:from>
    <xdr:to>
      <xdr:col>5</xdr:col>
      <xdr:colOff>828675</xdr:colOff>
      <xdr:row>26</xdr:row>
      <xdr:rowOff>28575</xdr:rowOff>
    </xdr:to>
    <xdr:cxnSp macro="">
      <xdr:nvCxnSpPr>
        <xdr:cNvPr id="13" name="Gerade Verbindung mit Pfeil 12">
          <a:extLst>
            <a:ext uri="{FF2B5EF4-FFF2-40B4-BE49-F238E27FC236}">
              <a16:creationId xmlns:a16="http://schemas.microsoft.com/office/drawing/2014/main" id="{D39E3097-38CB-4AF5-BE00-E888980EBA9B}"/>
            </a:ext>
          </a:extLst>
        </xdr:cNvPr>
        <xdr:cNvCxnSpPr/>
      </xdr:nvCxnSpPr>
      <xdr:spPr>
        <a:xfrm>
          <a:off x="1924050" y="5057775"/>
          <a:ext cx="2714625" cy="0"/>
        </a:xfrm>
        <a:prstGeom prst="straightConnector1">
          <a:avLst/>
        </a:prstGeom>
        <a:ln w="15875">
          <a:solidFill>
            <a:srgbClr val="00B05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323850</xdr:colOff>
      <xdr:row>24</xdr:row>
      <xdr:rowOff>2</xdr:rowOff>
    </xdr:from>
    <xdr:to>
      <xdr:col>3</xdr:col>
      <xdr:colOff>647700</xdr:colOff>
      <xdr:row>25</xdr:row>
      <xdr:rowOff>114300</xdr:rowOff>
    </xdr:to>
    <xdr:sp macro="" textlink="">
      <xdr:nvSpPr>
        <xdr:cNvPr id="14" name="Textfeld 13">
          <a:extLst>
            <a:ext uri="{FF2B5EF4-FFF2-40B4-BE49-F238E27FC236}">
              <a16:creationId xmlns:a16="http://schemas.microsoft.com/office/drawing/2014/main" id="{5D415E8B-FB92-4E49-9C58-60004C90A16A}"/>
            </a:ext>
          </a:extLst>
        </xdr:cNvPr>
        <xdr:cNvSpPr txBox="1"/>
      </xdr:nvSpPr>
      <xdr:spPr>
        <a:xfrm>
          <a:off x="2609850" y="4648202"/>
          <a:ext cx="323850" cy="304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marL="0" indent="0"/>
          <a:r>
            <a:rPr lang="de-DE" sz="1800">
              <a:solidFill>
                <a:schemeClr val="dk1"/>
              </a:solidFill>
              <a:latin typeface="+mn-lt"/>
              <a:ea typeface="+mn-ea"/>
              <a:cs typeface="+mn-cs"/>
            </a:rPr>
            <a:t>l</a:t>
          </a:r>
          <a:r>
            <a:rPr lang="de-DE" sz="1800" baseline="-25000">
              <a:solidFill>
                <a:schemeClr val="dk1"/>
              </a:solidFill>
              <a:latin typeface="+mn-lt"/>
              <a:ea typeface="+mn-ea"/>
              <a:cs typeface="+mn-cs"/>
            </a:rPr>
            <a:t>h</a:t>
          </a:r>
        </a:p>
      </xdr:txBody>
    </xdr:sp>
    <xdr:clientData/>
  </xdr:twoCellAnchor>
  <xdr:twoCellAnchor>
    <xdr:from>
      <xdr:col>5</xdr:col>
      <xdr:colOff>285750</xdr:colOff>
      <xdr:row>24</xdr:row>
      <xdr:rowOff>1</xdr:rowOff>
    </xdr:from>
    <xdr:to>
      <xdr:col>5</xdr:col>
      <xdr:colOff>628650</xdr:colOff>
      <xdr:row>25</xdr:row>
      <xdr:rowOff>142875</xdr:rowOff>
    </xdr:to>
    <xdr:sp macro="" textlink="">
      <xdr:nvSpPr>
        <xdr:cNvPr id="15" name="Textfeld 14">
          <a:extLst>
            <a:ext uri="{FF2B5EF4-FFF2-40B4-BE49-F238E27FC236}">
              <a16:creationId xmlns:a16="http://schemas.microsoft.com/office/drawing/2014/main" id="{B9F9E13D-973E-4661-9EEE-EA6D6707A1F7}"/>
            </a:ext>
          </a:extLst>
        </xdr:cNvPr>
        <xdr:cNvSpPr txBox="1"/>
      </xdr:nvSpPr>
      <xdr:spPr>
        <a:xfrm>
          <a:off x="4095750" y="4648201"/>
          <a:ext cx="3429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l</a:t>
          </a:r>
          <a:r>
            <a:rPr lang="de-DE" sz="1800" baseline="-25000"/>
            <a:t>v</a:t>
          </a:r>
          <a:endParaRPr lang="de-DE" sz="1800"/>
        </a:p>
      </xdr:txBody>
    </xdr:sp>
    <xdr:clientData/>
  </xdr:twoCellAnchor>
  <xdr:twoCellAnchor>
    <xdr:from>
      <xdr:col>4</xdr:col>
      <xdr:colOff>19050</xdr:colOff>
      <xdr:row>25</xdr:row>
      <xdr:rowOff>171451</xdr:rowOff>
    </xdr:from>
    <xdr:to>
      <xdr:col>4</xdr:col>
      <xdr:colOff>361950</xdr:colOff>
      <xdr:row>27</xdr:row>
      <xdr:rowOff>123825</xdr:rowOff>
    </xdr:to>
    <xdr:sp macro="" textlink="">
      <xdr:nvSpPr>
        <xdr:cNvPr id="16" name="Textfeld 15">
          <a:extLst>
            <a:ext uri="{FF2B5EF4-FFF2-40B4-BE49-F238E27FC236}">
              <a16:creationId xmlns:a16="http://schemas.microsoft.com/office/drawing/2014/main" id="{C56C5F58-78F9-410B-AB93-6661A9974F1E}"/>
            </a:ext>
          </a:extLst>
        </xdr:cNvPr>
        <xdr:cNvSpPr txBox="1"/>
      </xdr:nvSpPr>
      <xdr:spPr>
        <a:xfrm>
          <a:off x="3067050" y="5010151"/>
          <a:ext cx="3429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l</a:t>
          </a:r>
          <a:r>
            <a:rPr lang="de-DE" sz="1800" baseline="-25000"/>
            <a:t>0</a:t>
          </a:r>
          <a:endParaRPr lang="de-DE" sz="1800"/>
        </a:p>
      </xdr:txBody>
    </xdr:sp>
    <xdr:clientData/>
  </xdr:twoCellAnchor>
  <xdr:twoCellAnchor>
    <xdr:from>
      <xdr:col>7</xdr:col>
      <xdr:colOff>224431</xdr:colOff>
      <xdr:row>16</xdr:row>
      <xdr:rowOff>29818</xdr:rowOff>
    </xdr:from>
    <xdr:to>
      <xdr:col>7</xdr:col>
      <xdr:colOff>224431</xdr:colOff>
      <xdr:row>21</xdr:row>
      <xdr:rowOff>153643</xdr:rowOff>
    </xdr:to>
    <xdr:cxnSp macro="">
      <xdr:nvCxnSpPr>
        <xdr:cNvPr id="17" name="Gerade Verbindung mit Pfeil 16">
          <a:extLst>
            <a:ext uri="{FF2B5EF4-FFF2-40B4-BE49-F238E27FC236}">
              <a16:creationId xmlns:a16="http://schemas.microsoft.com/office/drawing/2014/main" id="{19B00388-B338-47E3-A280-33F8D191307A}"/>
            </a:ext>
          </a:extLst>
        </xdr:cNvPr>
        <xdr:cNvCxnSpPr/>
      </xdr:nvCxnSpPr>
      <xdr:spPr>
        <a:xfrm>
          <a:off x="5724083" y="3119231"/>
          <a:ext cx="0" cy="1076325"/>
        </a:xfrm>
        <a:prstGeom prst="straightConnector1">
          <a:avLst/>
        </a:prstGeom>
        <a:ln w="25400">
          <a:gradFill>
            <a:gsLst>
              <a:gs pos="0">
                <a:schemeClr val="tx1"/>
              </a:gs>
              <a:gs pos="100000">
                <a:schemeClr val="tx1"/>
              </a:gs>
            </a:gsLst>
            <a:lin ang="5400000" scaled="1"/>
          </a:gra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219488</xdr:colOff>
      <xdr:row>18</xdr:row>
      <xdr:rowOff>18636</xdr:rowOff>
    </xdr:from>
    <xdr:to>
      <xdr:col>7</xdr:col>
      <xdr:colOff>667164</xdr:colOff>
      <xdr:row>19</xdr:row>
      <xdr:rowOff>161510</xdr:rowOff>
    </xdr:to>
    <xdr:sp macro="" textlink="">
      <xdr:nvSpPr>
        <xdr:cNvPr id="18" name="Textfeld 17">
          <a:extLst>
            <a:ext uri="{FF2B5EF4-FFF2-40B4-BE49-F238E27FC236}">
              <a16:creationId xmlns:a16="http://schemas.microsoft.com/office/drawing/2014/main" id="{21CE9D06-BE84-43DA-B6CE-D9F05C51B192}"/>
            </a:ext>
          </a:extLst>
        </xdr:cNvPr>
        <xdr:cNvSpPr txBox="1"/>
      </xdr:nvSpPr>
      <xdr:spPr>
        <a:xfrm>
          <a:off x="5719140" y="3489049"/>
          <a:ext cx="447676"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h</a:t>
          </a:r>
          <a:r>
            <a:rPr lang="de-DE" sz="1800" baseline="-25000"/>
            <a:t>LW</a:t>
          </a:r>
          <a:endParaRPr lang="de-DE" sz="1800"/>
        </a:p>
      </xdr:txBody>
    </xdr:sp>
    <xdr:clientData/>
  </xdr:twoCellAnchor>
  <xdr:oneCellAnchor>
    <xdr:from>
      <xdr:col>0</xdr:col>
      <xdr:colOff>0</xdr:colOff>
      <xdr:row>63</xdr:row>
      <xdr:rowOff>57150</xdr:rowOff>
    </xdr:from>
    <xdr:ext cx="3724275" cy="371475"/>
    <mc:AlternateContent xmlns:mc="http://schemas.openxmlformats.org/markup-compatibility/2006" xmlns:a14="http://schemas.microsoft.com/office/drawing/2010/main">
      <mc:Choice Requires="a14">
        <xdr:sp macro="" textlink="">
          <xdr:nvSpPr>
            <xdr:cNvPr id="23" name="Textfeld 22">
              <a:extLst>
                <a:ext uri="{FF2B5EF4-FFF2-40B4-BE49-F238E27FC236}">
                  <a16:creationId xmlns:a16="http://schemas.microsoft.com/office/drawing/2014/main" id="{D1A10D5B-CB7E-43D5-BF20-F77E871F1440}"/>
                </a:ext>
              </a:extLst>
            </xdr:cNvPr>
            <xdr:cNvSpPr txBox="1"/>
          </xdr:nvSpPr>
          <xdr:spPr>
            <a:xfrm>
              <a:off x="0" y="8620125"/>
              <a:ext cx="3724275"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nary>
                      <m:naryPr>
                        <m:chr m:val="∑"/>
                        <m:subHide m:val="on"/>
                        <m:supHide m:val="on"/>
                        <m:ctrlPr>
                          <a:rPr lang="de-DE" sz="1000" i="1">
                            <a:solidFill>
                              <a:schemeClr val="tx1"/>
                            </a:solidFill>
                            <a:effectLst/>
                            <a:latin typeface="Cambria Math" panose="02040503050406030204" pitchFamily="18" charset="0"/>
                            <a:ea typeface="+mn-ea"/>
                            <a:cs typeface="+mn-cs"/>
                          </a:rPr>
                        </m:ctrlPr>
                      </m:naryPr>
                      <m:sub/>
                      <m:sup/>
                      <m:e>
                        <m:sSub>
                          <m:sSubPr>
                            <m:ctrlPr>
                              <a:rPr lang="de-DE" sz="1000" i="1">
                                <a:solidFill>
                                  <a:schemeClr val="tx1"/>
                                </a:solidFill>
                                <a:effectLst/>
                                <a:latin typeface="Cambria Math" panose="02040503050406030204" pitchFamily="18" charset="0"/>
                                <a:ea typeface="+mn-ea"/>
                                <a:cs typeface="+mn-cs"/>
                              </a:rPr>
                            </m:ctrlPr>
                          </m:sSubPr>
                          <m:e>
                            <m:r>
                              <a:rPr lang="de-DE" sz="1000" b="0" i="1">
                                <a:solidFill>
                                  <a:schemeClr val="tx1"/>
                                </a:solidFill>
                                <a:effectLst/>
                                <a:latin typeface="Cambria Math" panose="02040503050406030204" pitchFamily="18" charset="0"/>
                                <a:ea typeface="+mn-ea"/>
                                <a:cs typeface="+mn-cs"/>
                              </a:rPr>
                              <m:t>𝑀</m:t>
                            </m:r>
                          </m:e>
                          <m:sub>
                            <m:r>
                              <a:rPr lang="de-DE" sz="1000" b="0" i="1">
                                <a:solidFill>
                                  <a:schemeClr val="tx1"/>
                                </a:solidFill>
                                <a:effectLst/>
                                <a:latin typeface="Cambria Math" panose="02040503050406030204" pitchFamily="18" charset="0"/>
                                <a:ea typeface="+mn-ea"/>
                                <a:cs typeface="+mn-cs"/>
                              </a:rPr>
                              <m:t>𝑣</m:t>
                            </m:r>
                          </m:sub>
                        </m:sSub>
                        <m:r>
                          <a:rPr lang="de-DE" sz="1000" b="0" i="1">
                            <a:solidFill>
                              <a:schemeClr val="tx1"/>
                            </a:solidFill>
                            <a:effectLst/>
                            <a:latin typeface="Cambria Math" panose="02040503050406030204" pitchFamily="18" charset="0"/>
                            <a:ea typeface="+mn-ea"/>
                            <a:cs typeface="+mn-cs"/>
                          </a:rPr>
                          <m:t>=</m:t>
                        </m:r>
                      </m:e>
                    </m:nary>
                    <m:r>
                      <a:rPr lang="de-DE" sz="1000" b="0" i="1">
                        <a:solidFill>
                          <a:schemeClr val="tx1"/>
                        </a:solidFill>
                        <a:effectLst/>
                        <a:latin typeface="Cambria Math" panose="02040503050406030204" pitchFamily="18" charset="0"/>
                        <a:ea typeface="+mn-ea"/>
                        <a:cs typeface="+mn-cs"/>
                      </a:rPr>
                      <m:t> </m:t>
                    </m:r>
                    <m:sSub>
                      <m:sSubPr>
                        <m:ctrlPr>
                          <a:rPr lang="de-DE" sz="1000" b="0" i="1">
                            <a:latin typeface="Cambria Math" panose="02040503050406030204" pitchFamily="18" charset="0"/>
                          </a:rPr>
                        </m:ctrlPr>
                      </m:sSubPr>
                      <m:e>
                        <m:r>
                          <a:rPr lang="de-DE" sz="1000" b="0" i="1">
                            <a:latin typeface="Cambria Math" panose="02040503050406030204" pitchFamily="18" charset="0"/>
                          </a:rPr>
                          <m:t>𝐹</m:t>
                        </m:r>
                      </m:e>
                      <m:sub>
                        <m:r>
                          <a:rPr lang="de-DE" sz="1000" b="0" i="1">
                            <a:latin typeface="Cambria Math" panose="02040503050406030204" pitchFamily="18" charset="0"/>
                          </a:rPr>
                          <m:t>𝑁h</m:t>
                        </m:r>
                      </m:sub>
                    </m:sSub>
                    <m:r>
                      <a:rPr lang="de-DE" sz="1000" b="0" i="1">
                        <a:latin typeface="Cambria Math"/>
                      </a:rPr>
                      <m:t>∗</m:t>
                    </m:r>
                    <m:sSub>
                      <m:sSubPr>
                        <m:ctrlPr>
                          <a:rPr lang="de-DE" sz="1000" b="0" i="1">
                            <a:latin typeface="Cambria Math" panose="02040503050406030204" pitchFamily="18" charset="0"/>
                          </a:rPr>
                        </m:ctrlPr>
                      </m:sSubPr>
                      <m:e>
                        <m:r>
                          <a:rPr lang="de-DE" sz="1000" b="0" i="1">
                            <a:latin typeface="Cambria Math"/>
                          </a:rPr>
                          <m:t>𝑙</m:t>
                        </m:r>
                      </m:e>
                      <m:sub>
                        <m:r>
                          <a:rPr lang="de-DE" sz="1000" b="0" i="1">
                            <a:latin typeface="Cambria Math"/>
                          </a:rPr>
                          <m:t>0</m:t>
                        </m:r>
                      </m:sub>
                    </m:sSub>
                    <m:r>
                      <a:rPr lang="de-DE" sz="1000" b="0" i="1">
                        <a:latin typeface="Cambria Math" panose="02040503050406030204" pitchFamily="18" charset="0"/>
                      </a:rPr>
                      <m:t>−</m:t>
                    </m:r>
                    <m:sSub>
                      <m:sSubPr>
                        <m:ctrlPr>
                          <a:rPr lang="de-DE" sz="1000" b="0" i="1">
                            <a:latin typeface="Cambria Math" panose="02040503050406030204" pitchFamily="18" charset="0"/>
                          </a:rPr>
                        </m:ctrlPr>
                      </m:sSubPr>
                      <m:e>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𝐺</m:t>
                            </m:r>
                          </m:sub>
                        </m:sSub>
                        <m:r>
                          <a:rPr lang="de-DE" sz="1000" b="0" i="1">
                            <a:solidFill>
                              <a:schemeClr val="tx1"/>
                            </a:solidFill>
                            <a:effectLst/>
                            <a:latin typeface="Cambria Math" panose="02040503050406030204" pitchFamily="18" charset="0"/>
                            <a:ea typeface="+mn-ea"/>
                            <a:cs typeface="+mn-cs"/>
                          </a:rPr>
                          <m:t>∗</m:t>
                        </m:r>
                        <m:sSub>
                          <m:sSubPr>
                            <m:ctrlPr>
                              <a:rPr lang="de-DE" sz="1000" b="0" i="1">
                                <a:solidFill>
                                  <a:schemeClr val="tx1"/>
                                </a:solidFill>
                                <a:effectLst/>
                                <a:latin typeface="Cambria Math" panose="02040503050406030204" pitchFamily="18" charset="0"/>
                                <a:ea typeface="+mn-ea"/>
                                <a:cs typeface="+mn-cs"/>
                              </a:rPr>
                            </m:ctrlPr>
                          </m:sSubPr>
                          <m:e>
                            <m:r>
                              <a:rPr lang="de-DE" sz="1000" b="0" i="1">
                                <a:solidFill>
                                  <a:schemeClr val="tx1"/>
                                </a:solidFill>
                                <a:effectLst/>
                                <a:latin typeface="Cambria Math" panose="02040503050406030204" pitchFamily="18" charset="0"/>
                                <a:ea typeface="+mn-ea"/>
                                <a:cs typeface="+mn-cs"/>
                              </a:rPr>
                              <m:t>𝑙</m:t>
                            </m:r>
                          </m:e>
                          <m:sub>
                            <m:r>
                              <a:rPr lang="de-DE" sz="1000" b="0" i="1">
                                <a:solidFill>
                                  <a:schemeClr val="tx1"/>
                                </a:solidFill>
                                <a:effectLst/>
                                <a:latin typeface="Cambria Math" panose="02040503050406030204" pitchFamily="18" charset="0"/>
                                <a:ea typeface="+mn-ea"/>
                                <a:cs typeface="+mn-cs"/>
                              </a:rPr>
                              <m:t>𝑣</m:t>
                            </m:r>
                          </m:sub>
                        </m:sSub>
                        <m:r>
                          <a:rPr lang="de-DE" sz="1000" b="0" i="1">
                            <a:solidFill>
                              <a:schemeClr val="tx1"/>
                            </a:solidFill>
                            <a:effectLst/>
                            <a:latin typeface="Cambria Math" panose="02040503050406030204" pitchFamily="18" charset="0"/>
                            <a:ea typeface="+mn-ea"/>
                            <a:cs typeface="+mn-cs"/>
                          </a:rPr>
                          <m:t>−</m:t>
                        </m:r>
                        <m:sSub>
                          <m:sSubPr>
                            <m:ctrlPr>
                              <a:rPr lang="de-DE" sz="1000" b="0" i="1">
                                <a:solidFill>
                                  <a:schemeClr val="tx1"/>
                                </a:solidFill>
                                <a:effectLst/>
                                <a:latin typeface="Cambria Math" panose="02040503050406030204" pitchFamily="18" charset="0"/>
                                <a:ea typeface="+mn-ea"/>
                                <a:cs typeface="+mn-cs"/>
                              </a:rPr>
                            </m:ctrlPr>
                          </m:sSubPr>
                          <m:e>
                            <m:r>
                              <a:rPr lang="de-DE" sz="1000" b="0" i="1">
                                <a:solidFill>
                                  <a:schemeClr val="tx1"/>
                                </a:solidFill>
                                <a:effectLst/>
                                <a:latin typeface="Cambria Math" panose="02040503050406030204" pitchFamily="18" charset="0"/>
                                <a:ea typeface="+mn-ea"/>
                                <a:cs typeface="+mn-cs"/>
                              </a:rPr>
                              <m:t>𝐹</m:t>
                            </m:r>
                          </m:e>
                          <m:sub>
                            <m:r>
                              <a:rPr lang="de-DE" sz="1000" b="0" i="1">
                                <a:solidFill>
                                  <a:schemeClr val="tx1"/>
                                </a:solidFill>
                                <a:effectLst/>
                                <a:latin typeface="Cambria Math" panose="02040503050406030204" pitchFamily="18" charset="0"/>
                                <a:ea typeface="+mn-ea"/>
                                <a:cs typeface="+mn-cs"/>
                              </a:rPr>
                              <m:t>𝐿𝑊</m:t>
                            </m:r>
                          </m:sub>
                        </m:sSub>
                        <m:r>
                          <a:rPr lang="de-DE" sz="1000" b="0" i="1">
                            <a:solidFill>
                              <a:schemeClr val="tx1"/>
                            </a:solidFill>
                            <a:effectLst/>
                            <a:latin typeface="Cambria Math" panose="02040503050406030204" pitchFamily="18" charset="0"/>
                            <a:ea typeface="+mn-ea"/>
                            <a:cs typeface="+mn-cs"/>
                          </a:rPr>
                          <m:t>∗</m:t>
                        </m:r>
                        <m:sSub>
                          <m:sSubPr>
                            <m:ctrlPr>
                              <a:rPr lang="de-DE" sz="1000" b="0" i="1">
                                <a:solidFill>
                                  <a:schemeClr val="tx1"/>
                                </a:solidFill>
                                <a:effectLst/>
                                <a:latin typeface="Cambria Math" panose="02040503050406030204" pitchFamily="18" charset="0"/>
                                <a:ea typeface="+mn-ea"/>
                                <a:cs typeface="+mn-cs"/>
                              </a:rPr>
                            </m:ctrlPr>
                          </m:sSubPr>
                          <m:e>
                            <m:r>
                              <a:rPr lang="de-DE" sz="1000" b="0" i="1">
                                <a:solidFill>
                                  <a:schemeClr val="tx1"/>
                                </a:solidFill>
                                <a:effectLst/>
                                <a:latin typeface="Cambria Math" panose="02040503050406030204" pitchFamily="18" charset="0"/>
                                <a:ea typeface="+mn-ea"/>
                                <a:cs typeface="+mn-cs"/>
                              </a:rPr>
                              <m:t>h</m:t>
                            </m:r>
                          </m:e>
                          <m:sub>
                            <m:r>
                              <a:rPr lang="de-DE" sz="1000" b="0" i="1">
                                <a:solidFill>
                                  <a:schemeClr val="tx1"/>
                                </a:solidFill>
                                <a:effectLst/>
                                <a:latin typeface="Cambria Math" panose="02040503050406030204" pitchFamily="18" charset="0"/>
                                <a:ea typeface="+mn-ea"/>
                                <a:cs typeface="+mn-cs"/>
                              </a:rPr>
                              <m:t>𝐿𝑊</m:t>
                            </m:r>
                          </m:sub>
                        </m:sSub>
                        <m:r>
                          <a:rPr lang="de-DE" sz="1000" b="0" i="1">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𝑆</m:t>
                            </m:r>
                          </m:sub>
                        </m:sSub>
                      </m:e>
                      <m:sub/>
                    </m:sSub>
                    <m:r>
                      <a:rPr lang="de-DE" sz="1000" b="0" i="1">
                        <a:latin typeface="Cambria Math"/>
                      </a:rPr>
                      <m:t>=0</m:t>
                    </m:r>
                  </m:oMath>
                </m:oMathPara>
              </a14:m>
              <a:endParaRPr lang="de-DE" sz="1000"/>
            </a:p>
          </xdr:txBody>
        </xdr:sp>
      </mc:Choice>
      <mc:Fallback xmlns="">
        <xdr:sp macro="" textlink="">
          <xdr:nvSpPr>
            <xdr:cNvPr id="23" name="Textfeld 22">
              <a:extLst>
                <a:ext uri="{FF2B5EF4-FFF2-40B4-BE49-F238E27FC236}">
                  <a16:creationId xmlns:a16="http://schemas.microsoft.com/office/drawing/2014/main" id="{D1A10D5B-CB7E-43D5-BF20-F77E871F1440}"/>
                </a:ext>
              </a:extLst>
            </xdr:cNvPr>
            <xdr:cNvSpPr txBox="1"/>
          </xdr:nvSpPr>
          <xdr:spPr>
            <a:xfrm>
              <a:off x="0" y="8620125"/>
              <a:ext cx="3724275"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000" i="0">
                  <a:solidFill>
                    <a:schemeClr val="tx1"/>
                  </a:solidFill>
                  <a:effectLst/>
                  <a:latin typeface="Cambria Math" panose="02040503050406030204" pitchFamily="18" charset="0"/>
                  <a:ea typeface="+mn-ea"/>
                  <a:cs typeface="+mn-cs"/>
                </a:rPr>
                <a:t>∑</a:t>
              </a:r>
              <a:r>
                <a:rPr lang="de-DE" sz="1000" b="0" i="0">
                  <a:solidFill>
                    <a:schemeClr val="tx1"/>
                  </a:solidFill>
                  <a:effectLst/>
                  <a:latin typeface="Cambria Math" panose="02040503050406030204" pitchFamily="18" charset="0"/>
                  <a:ea typeface="+mn-ea"/>
                  <a:cs typeface="+mn-cs"/>
                </a:rPr>
                <a:t>▒〖𝑀_𝑣=〗  </a:t>
              </a:r>
              <a:r>
                <a:rPr lang="de-DE" sz="1000" b="0" i="0">
                  <a:latin typeface="Cambria Math" panose="02040503050406030204" pitchFamily="18" charset="0"/>
                </a:rPr>
                <a:t>𝐹_𝑁ℎ</a:t>
              </a:r>
              <a:r>
                <a:rPr lang="de-DE" sz="1000" b="0" i="0">
                  <a:latin typeface="Cambria Math"/>
                </a:rPr>
                <a:t>∗𝑙</a:t>
              </a:r>
              <a:r>
                <a:rPr lang="de-DE" sz="1000" b="0" i="0">
                  <a:latin typeface="Cambria Math" panose="02040503050406030204" pitchFamily="18" charset="0"/>
                </a:rPr>
                <a:t>_</a:t>
              </a:r>
              <a:r>
                <a:rPr lang="de-DE" sz="1000" b="0" i="0">
                  <a:latin typeface="Cambria Math"/>
                </a:rPr>
                <a:t>0</a:t>
              </a:r>
              <a:r>
                <a:rPr lang="de-DE" sz="1000" b="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𝐹_𝐺</a:t>
              </a:r>
              <a:r>
                <a:rPr lang="de-DE" sz="1000" b="0" i="0">
                  <a:solidFill>
                    <a:schemeClr val="tx1"/>
                  </a:solidFill>
                  <a:effectLst/>
                  <a:latin typeface="Cambria Math" panose="02040503050406030204" pitchFamily="18" charset="0"/>
                  <a:ea typeface="+mn-ea"/>
                  <a:cs typeface="+mn-cs"/>
                </a:rPr>
                <a:t>∗𝑙_𝑣−𝐹_𝐿𝑊∗ℎ_𝐿𝑊+</a:t>
              </a:r>
              <a:r>
                <a:rPr lang="de-DE" sz="1100" b="0" i="0">
                  <a:solidFill>
                    <a:schemeClr val="tx1"/>
                  </a:solidFill>
                  <a:effectLst/>
                  <a:latin typeface="Cambria Math" panose="02040503050406030204" pitchFamily="18" charset="0"/>
                  <a:ea typeface="+mn-ea"/>
                  <a:cs typeface="+mn-cs"/>
                </a:rPr>
                <a:t> 𝐹_𝐵∗ℎ_𝑆</a:t>
              </a:r>
              <a:r>
                <a:rPr lang="de-DE" sz="1000" b="0" i="0">
                  <a:solidFill>
                    <a:schemeClr val="tx1"/>
                  </a:solidFill>
                  <a:effectLst/>
                  <a:latin typeface="Cambria Math" panose="02040503050406030204" pitchFamily="18" charset="0"/>
                  <a:ea typeface="+mn-ea"/>
                  <a:cs typeface="+mn-cs"/>
                </a:rPr>
                <a:t>〗_</a:t>
              </a:r>
              <a:r>
                <a:rPr lang="de-DE" sz="1000" b="0" i="0">
                  <a:solidFill>
                    <a:schemeClr val="tx1"/>
                  </a:solidFill>
                  <a:effectLst/>
                  <a:latin typeface="Cambria Math"/>
                  <a:ea typeface="+mn-ea"/>
                  <a:cs typeface="+mn-cs"/>
                </a:rPr>
                <a:t> </a:t>
              </a:r>
              <a:r>
                <a:rPr lang="de-DE" sz="1000" b="0" i="0">
                  <a:latin typeface="Cambria Math"/>
                </a:rPr>
                <a:t>=0</a:t>
              </a:r>
              <a:endParaRPr lang="de-DE" sz="1000"/>
            </a:p>
          </xdr:txBody>
        </xdr:sp>
      </mc:Fallback>
    </mc:AlternateContent>
    <xdr:clientData/>
  </xdr:oneCellAnchor>
  <xdr:oneCellAnchor>
    <xdr:from>
      <xdr:col>0</xdr:col>
      <xdr:colOff>1</xdr:colOff>
      <xdr:row>64</xdr:row>
      <xdr:rowOff>180975</xdr:rowOff>
    </xdr:from>
    <xdr:ext cx="3495674" cy="442913"/>
    <mc:AlternateContent xmlns:mc="http://schemas.openxmlformats.org/markup-compatibility/2006" xmlns:a14="http://schemas.microsoft.com/office/drawing/2010/main">
      <mc:Choice Requires="a14">
        <xdr:sp macro="" textlink="">
          <xdr:nvSpPr>
            <xdr:cNvPr id="24" name="Textfeld 23">
              <a:extLst>
                <a:ext uri="{FF2B5EF4-FFF2-40B4-BE49-F238E27FC236}">
                  <a16:creationId xmlns:a16="http://schemas.microsoft.com/office/drawing/2014/main" id="{22DFE2C3-9C87-43D8-80D2-8F9285F4D12C}"/>
                </a:ext>
              </a:extLst>
            </xdr:cNvPr>
            <xdr:cNvSpPr txBox="1"/>
          </xdr:nvSpPr>
          <xdr:spPr>
            <a:xfrm>
              <a:off x="1" y="8934450"/>
              <a:ext cx="3495674" cy="442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𝑁h</m:t>
                        </m:r>
                      </m:sub>
                    </m:sSub>
                    <m:r>
                      <a:rPr lang="de-DE" sz="1100" b="0" i="1">
                        <a:latin typeface="Cambria Math"/>
                      </a:rPr>
                      <m:t>=</m:t>
                    </m:r>
                    <m:f>
                      <m:fPr>
                        <m:ctrlPr>
                          <a:rPr lang="de-DE" sz="1100" b="0" i="1">
                            <a:solidFill>
                              <a:schemeClr val="tx1"/>
                            </a:solidFill>
                            <a:effectLst/>
                            <a:latin typeface="Cambria Math" panose="02040503050406030204" pitchFamily="18" charset="0"/>
                            <a:ea typeface="+mn-ea"/>
                            <a:cs typeface="+mn-cs"/>
                          </a:rPr>
                        </m:ctrlPr>
                      </m:fPr>
                      <m:num>
                        <m:r>
                          <a:rPr lang="de-DE" sz="1100" b="0" i="1">
                            <a:solidFill>
                              <a:schemeClr val="tx1"/>
                            </a:solidFill>
                            <a:effectLst/>
                            <a:latin typeface="Cambria Math"/>
                            <a:ea typeface="+mn-ea"/>
                            <a:cs typeface="+mn-cs"/>
                          </a:rPr>
                          <m:t>1</m:t>
                        </m:r>
                      </m:num>
                      <m:den>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𝑙</m:t>
                            </m:r>
                          </m:e>
                          <m:sub>
                            <m:r>
                              <a:rPr lang="de-DE" sz="1100" b="0" i="1">
                                <a:solidFill>
                                  <a:schemeClr val="tx1"/>
                                </a:solidFill>
                                <a:effectLst/>
                                <a:latin typeface="Cambria Math"/>
                                <a:ea typeface="+mn-ea"/>
                                <a:cs typeface="+mn-cs"/>
                              </a:rPr>
                              <m:t>0</m:t>
                            </m:r>
                          </m:sub>
                        </m:sSub>
                      </m:den>
                    </m:f>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𝐺</m:t>
                            </m:r>
                          </m:sub>
                        </m:sSub>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𝑙</m:t>
                            </m:r>
                          </m:e>
                          <m:sub>
                            <m:r>
                              <a:rPr lang="de-DE" sz="1100" b="0" i="1">
                                <a:solidFill>
                                  <a:schemeClr val="tx1"/>
                                </a:solidFill>
                                <a:effectLst/>
                                <a:latin typeface="Cambria Math" panose="02040503050406030204" pitchFamily="18" charset="0"/>
                                <a:ea typeface="+mn-ea"/>
                                <a:cs typeface="+mn-cs"/>
                              </a:rPr>
                              <m:t>𝑣</m:t>
                            </m:r>
                          </m:sub>
                        </m:sSub>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𝑆</m:t>
                            </m:r>
                          </m:sub>
                        </m:sSub>
                        <m:r>
                          <a:rPr lang="de-DE" sz="1100" b="0" i="1">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a:ea typeface="+mn-ea"/>
                            <a:cs typeface="+mn-cs"/>
                          </a:rPr>
                          <m:t>𝐹</m:t>
                        </m:r>
                      </m:e>
                      <m:sub>
                        <m:r>
                          <a:rPr lang="de-DE" sz="1100" b="0" i="1">
                            <a:solidFill>
                              <a:schemeClr val="tx1"/>
                            </a:solidFill>
                            <a:effectLst/>
                            <a:latin typeface="Cambria Math"/>
                            <a:ea typeface="+mn-ea"/>
                            <a:cs typeface="+mn-cs"/>
                          </a:rPr>
                          <m:t>𝐿𝑊</m:t>
                        </m:r>
                      </m:sub>
                    </m:sSub>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h</m:t>
                        </m:r>
                      </m:e>
                      <m:sub>
                        <m:r>
                          <a:rPr lang="de-DE" sz="1100" b="0" i="1">
                            <a:solidFill>
                              <a:schemeClr val="tx1"/>
                            </a:solidFill>
                            <a:effectLst/>
                            <a:latin typeface="Cambria Math" panose="02040503050406030204" pitchFamily="18" charset="0"/>
                            <a:ea typeface="+mn-ea"/>
                            <a:cs typeface="+mn-cs"/>
                          </a:rPr>
                          <m:t>𝐿𝑊</m:t>
                        </m:r>
                      </m:sub>
                    </m:sSub>
                    <m:r>
                      <a:rPr lang="de-DE" sz="1100" b="0" i="1">
                        <a:solidFill>
                          <a:schemeClr val="tx1"/>
                        </a:solidFill>
                        <a:effectLst/>
                        <a:latin typeface="Cambria Math" panose="02040503050406030204" pitchFamily="18" charset="0"/>
                        <a:ea typeface="+mn-ea"/>
                        <a:cs typeface="+mn-cs"/>
                      </a:rPr>
                      <m:t>)</m:t>
                    </m:r>
                  </m:oMath>
                </m:oMathPara>
              </a14:m>
              <a:endParaRPr lang="de-DE" sz="1100"/>
            </a:p>
          </xdr:txBody>
        </xdr:sp>
      </mc:Choice>
      <mc:Fallback xmlns="">
        <xdr:sp macro="" textlink="">
          <xdr:nvSpPr>
            <xdr:cNvPr id="24" name="Textfeld 23">
              <a:extLst>
                <a:ext uri="{FF2B5EF4-FFF2-40B4-BE49-F238E27FC236}">
                  <a16:creationId xmlns:a16="http://schemas.microsoft.com/office/drawing/2014/main" id="{22DFE2C3-9C87-43D8-80D2-8F9285F4D12C}"/>
                </a:ext>
              </a:extLst>
            </xdr:cNvPr>
            <xdr:cNvSpPr txBox="1"/>
          </xdr:nvSpPr>
          <xdr:spPr>
            <a:xfrm>
              <a:off x="1" y="8934450"/>
              <a:ext cx="3495674" cy="442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100" b="0" i="0">
                  <a:latin typeface="Cambria Math" panose="02040503050406030204" pitchFamily="18" charset="0"/>
                </a:rPr>
                <a:t>𝐹_𝑁ℎ</a:t>
              </a:r>
              <a:r>
                <a:rPr lang="de-DE" sz="1100" b="0" i="0">
                  <a:latin typeface="Cambria Math"/>
                </a:rPr>
                <a:t>=</a:t>
              </a:r>
              <a:r>
                <a:rPr lang="de-DE" sz="1100" b="0" i="0">
                  <a:solidFill>
                    <a:schemeClr val="tx1"/>
                  </a:solidFill>
                  <a:effectLst/>
                  <a:latin typeface="Cambria Math"/>
                  <a:ea typeface="+mn-ea"/>
                  <a:cs typeface="+mn-cs"/>
                </a:rPr>
                <a:t>1</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a:ea typeface="+mn-ea"/>
                  <a:cs typeface="+mn-cs"/>
                </a:rPr>
                <a:t>𝑙</a:t>
              </a:r>
              <a:r>
                <a:rPr lang="de-DE" sz="1100" b="0" i="0">
                  <a:solidFill>
                    <a:schemeClr val="tx1"/>
                  </a:solidFill>
                  <a:effectLst/>
                  <a:latin typeface="Cambria Math" panose="02040503050406030204" pitchFamily="18" charset="0"/>
                  <a:ea typeface="+mn-ea"/>
                  <a:cs typeface="+mn-cs"/>
                </a:rPr>
                <a:t>_</a:t>
              </a:r>
              <a:r>
                <a:rPr lang="de-DE" sz="1100" b="0" i="0">
                  <a:solidFill>
                    <a:schemeClr val="tx1"/>
                  </a:solidFill>
                  <a:effectLst/>
                  <a:latin typeface="Cambria Math"/>
                  <a:ea typeface="+mn-ea"/>
                  <a:cs typeface="+mn-cs"/>
                </a:rPr>
                <a:t>0</a:t>
              </a:r>
              <a:r>
                <a:rPr lang="de-DE" sz="1100" b="0" i="0">
                  <a:solidFill>
                    <a:schemeClr val="tx1"/>
                  </a:solidFill>
                  <a:effectLst/>
                  <a:latin typeface="Cambria Math" panose="02040503050406030204" pitchFamily="18" charset="0"/>
                  <a:ea typeface="+mn-ea"/>
                  <a:cs typeface="+mn-cs"/>
                </a:rPr>
                <a:t> </a:t>
              </a:r>
              <a:r>
                <a:rPr lang="de-DE" sz="1100" b="0" i="0">
                  <a:solidFill>
                    <a:schemeClr val="tx1"/>
                  </a:solidFill>
                  <a:effectLst/>
                  <a:latin typeface="Cambria Math"/>
                  <a:ea typeface="+mn-ea"/>
                  <a:cs typeface="+mn-cs"/>
                </a:rPr>
                <a:t>∗</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a:ea typeface="+mn-ea"/>
                  <a:cs typeface="+mn-cs"/>
                </a:rPr>
                <a:t>(</a:t>
              </a:r>
              <a:r>
                <a:rPr lang="de-DE" sz="1100" b="0" i="0">
                  <a:solidFill>
                    <a:schemeClr val="tx1"/>
                  </a:solidFill>
                  <a:effectLst/>
                  <a:latin typeface="Cambria Math" panose="02040503050406030204" pitchFamily="18" charset="0"/>
                  <a:ea typeface="+mn-ea"/>
                  <a:cs typeface="+mn-cs"/>
                </a:rPr>
                <a:t>𝐹_𝐺</a:t>
              </a:r>
              <a:r>
                <a:rPr lang="de-DE" sz="1100" b="0" i="0">
                  <a:solidFill>
                    <a:schemeClr val="tx1"/>
                  </a:solidFill>
                  <a:effectLst/>
                  <a:latin typeface="Cambria Math"/>
                  <a:ea typeface="+mn-ea"/>
                  <a:cs typeface="+mn-cs"/>
                </a:rPr>
                <a:t>∗𝑙</a:t>
              </a:r>
              <a:r>
                <a:rPr lang="de-DE" sz="1100" b="0" i="0">
                  <a:solidFill>
                    <a:schemeClr val="tx1"/>
                  </a:solidFill>
                  <a:effectLst/>
                  <a:latin typeface="Cambria Math" panose="02040503050406030204" pitchFamily="18" charset="0"/>
                  <a:ea typeface="+mn-ea"/>
                  <a:cs typeface="+mn-cs"/>
                </a:rPr>
                <a:t>_𝑣−</a:t>
              </a:r>
              <a:r>
                <a:rPr lang="de-DE" sz="1100" b="0" i="0">
                  <a:solidFill>
                    <a:schemeClr val="tx1"/>
                  </a:solidFill>
                  <a:effectLst/>
                  <a:latin typeface="+mn-lt"/>
                  <a:ea typeface="+mn-ea"/>
                  <a:cs typeface="+mn-cs"/>
                </a:rPr>
                <a:t> 𝐹_𝐵∗ℎ_𝑆</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Cambria Math"/>
                  <a:ea typeface="+mn-ea"/>
                  <a:cs typeface="+mn-cs"/>
                </a:rPr>
                <a:t>𝐹</a:t>
              </a:r>
              <a:r>
                <a:rPr lang="de-DE" sz="1100" b="0" i="0">
                  <a:solidFill>
                    <a:schemeClr val="tx1"/>
                  </a:solidFill>
                  <a:effectLst/>
                  <a:latin typeface="Cambria Math" panose="02040503050406030204" pitchFamily="18" charset="0"/>
                  <a:ea typeface="+mn-ea"/>
                  <a:cs typeface="+mn-cs"/>
                </a:rPr>
                <a:t>〗_</a:t>
              </a:r>
              <a:r>
                <a:rPr lang="de-DE" sz="1100" b="0" i="0">
                  <a:solidFill>
                    <a:schemeClr val="tx1"/>
                  </a:solidFill>
                  <a:effectLst/>
                  <a:latin typeface="Cambria Math"/>
                  <a:ea typeface="+mn-ea"/>
                  <a:cs typeface="+mn-cs"/>
                </a:rPr>
                <a:t>𝐿𝑊∗ℎ</a:t>
              </a:r>
              <a:r>
                <a:rPr lang="de-DE" sz="1100" b="0" i="0">
                  <a:solidFill>
                    <a:schemeClr val="tx1"/>
                  </a:solidFill>
                  <a:effectLst/>
                  <a:latin typeface="Cambria Math" panose="02040503050406030204" pitchFamily="18" charset="0"/>
                  <a:ea typeface="+mn-ea"/>
                  <a:cs typeface="+mn-cs"/>
                </a:rPr>
                <a:t>_𝐿𝑊)</a:t>
              </a:r>
              <a:endParaRPr lang="de-DE" sz="1100"/>
            </a:p>
          </xdr:txBody>
        </xdr:sp>
      </mc:Fallback>
    </mc:AlternateContent>
    <xdr:clientData/>
  </xdr:oneCellAnchor>
  <xdr:oneCellAnchor>
    <xdr:from>
      <xdr:col>1</xdr:col>
      <xdr:colOff>619251</xdr:colOff>
      <xdr:row>58</xdr:row>
      <xdr:rowOff>139212</xdr:rowOff>
    </xdr:from>
    <xdr:ext cx="2324100" cy="266700"/>
    <mc:AlternateContent xmlns:mc="http://schemas.openxmlformats.org/markup-compatibility/2006" xmlns:a14="http://schemas.microsoft.com/office/drawing/2010/main">
      <mc:Choice Requires="a14">
        <xdr:sp macro="" textlink="">
          <xdr:nvSpPr>
            <xdr:cNvPr id="25" name="Textfeld 24">
              <a:extLst>
                <a:ext uri="{FF2B5EF4-FFF2-40B4-BE49-F238E27FC236}">
                  <a16:creationId xmlns:a16="http://schemas.microsoft.com/office/drawing/2014/main" id="{B3BA8E6A-17CA-44BE-9ED6-EF9E5B42D2D3}"/>
                </a:ext>
              </a:extLst>
            </xdr:cNvPr>
            <xdr:cNvSpPr txBox="1"/>
          </xdr:nvSpPr>
          <xdr:spPr>
            <a:xfrm>
              <a:off x="1381251" y="11070981"/>
              <a:ext cx="23241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𝑁h</m:t>
                        </m:r>
                      </m:sub>
                    </m:sSub>
                    <m:r>
                      <a:rPr lang="de-DE" sz="1100" b="0" i="1">
                        <a:latin typeface="Cambria Math"/>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𝐺</m:t>
                        </m:r>
                      </m:sub>
                    </m:sSub>
                    <m:r>
                      <a:rPr lang="de-DE" sz="1100" b="0" i="1">
                        <a:latin typeface="Cambria Math" panose="02040503050406030204" pitchFamily="18" charset="0"/>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𝑁𝑉</m:t>
                        </m:r>
                      </m:sub>
                    </m:sSub>
                  </m:oMath>
                </m:oMathPara>
              </a14:m>
              <a:endParaRPr lang="de-DE" sz="1100"/>
            </a:p>
          </xdr:txBody>
        </xdr:sp>
      </mc:Choice>
      <mc:Fallback xmlns="">
        <xdr:sp macro="" textlink="">
          <xdr:nvSpPr>
            <xdr:cNvPr id="25" name="Textfeld 24">
              <a:extLst>
                <a:ext uri="{FF2B5EF4-FFF2-40B4-BE49-F238E27FC236}">
                  <a16:creationId xmlns:a16="http://schemas.microsoft.com/office/drawing/2014/main" id="{B3BA8E6A-17CA-44BE-9ED6-EF9E5B42D2D3}"/>
                </a:ext>
              </a:extLst>
            </xdr:cNvPr>
            <xdr:cNvSpPr txBox="1"/>
          </xdr:nvSpPr>
          <xdr:spPr>
            <a:xfrm>
              <a:off x="1381251" y="11070981"/>
              <a:ext cx="23241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100" b="0" i="0">
                  <a:latin typeface="Cambria Math" panose="02040503050406030204" pitchFamily="18" charset="0"/>
                </a:rPr>
                <a:t>𝐹_𝑁ℎ</a:t>
              </a:r>
              <a:r>
                <a:rPr lang="de-DE" sz="1100" b="0" i="0">
                  <a:latin typeface="Cambria Math"/>
                </a:rPr>
                <a:t>=</a:t>
              </a:r>
              <a:r>
                <a:rPr lang="de-DE" sz="1100" b="0" i="0">
                  <a:latin typeface="Cambria Math" panose="02040503050406030204" pitchFamily="18" charset="0"/>
                </a:rPr>
                <a:t>𝐹_𝐺−</a:t>
              </a:r>
              <a:r>
                <a:rPr lang="de-DE" sz="1100" b="0" i="0">
                  <a:solidFill>
                    <a:schemeClr val="tx1"/>
                  </a:solidFill>
                  <a:effectLst/>
                  <a:latin typeface="Cambria Math" panose="02040503050406030204" pitchFamily="18" charset="0"/>
                  <a:ea typeface="+mn-ea"/>
                  <a:cs typeface="+mn-cs"/>
                </a:rPr>
                <a:t>𝐹_𝑁𝑉</a:t>
              </a:r>
              <a:endParaRPr lang="de-DE" sz="1100"/>
            </a:p>
          </xdr:txBody>
        </xdr:sp>
      </mc:Fallback>
    </mc:AlternateContent>
    <xdr:clientData/>
  </xdr:oneCellAnchor>
  <xdr:twoCellAnchor>
    <xdr:from>
      <xdr:col>4</xdr:col>
      <xdr:colOff>314325</xdr:colOff>
      <xdr:row>29</xdr:row>
      <xdr:rowOff>9525</xdr:rowOff>
    </xdr:from>
    <xdr:to>
      <xdr:col>4</xdr:col>
      <xdr:colOff>733425</xdr:colOff>
      <xdr:row>30</xdr:row>
      <xdr:rowOff>150495</xdr:rowOff>
    </xdr:to>
    <xdr:sp macro="" textlink="">
      <xdr:nvSpPr>
        <xdr:cNvPr id="26" name="Textfeld 25">
          <a:extLst>
            <a:ext uri="{FF2B5EF4-FFF2-40B4-BE49-F238E27FC236}">
              <a16:creationId xmlns:a16="http://schemas.microsoft.com/office/drawing/2014/main" id="{C7D58935-5EF1-4130-ACEC-DBFB4BC201EF}"/>
            </a:ext>
          </a:extLst>
        </xdr:cNvPr>
        <xdr:cNvSpPr txBox="1"/>
      </xdr:nvSpPr>
      <xdr:spPr>
        <a:xfrm>
          <a:off x="3362325" y="5610225"/>
          <a:ext cx="419100" cy="33147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G</a:t>
          </a:r>
          <a:endParaRPr lang="de-DE" sz="1800"/>
        </a:p>
      </xdr:txBody>
    </xdr:sp>
    <xdr:clientData/>
  </xdr:twoCellAnchor>
  <xdr:twoCellAnchor>
    <xdr:from>
      <xdr:col>4</xdr:col>
      <xdr:colOff>390525</xdr:colOff>
      <xdr:row>18</xdr:row>
      <xdr:rowOff>161925</xdr:rowOff>
    </xdr:from>
    <xdr:to>
      <xdr:col>5</xdr:col>
      <xdr:colOff>123825</xdr:colOff>
      <xdr:row>18</xdr:row>
      <xdr:rowOff>171450</xdr:rowOff>
    </xdr:to>
    <xdr:cxnSp macro="">
      <xdr:nvCxnSpPr>
        <xdr:cNvPr id="28" name="Gerader Verbinder 27">
          <a:extLst>
            <a:ext uri="{FF2B5EF4-FFF2-40B4-BE49-F238E27FC236}">
              <a16:creationId xmlns:a16="http://schemas.microsoft.com/office/drawing/2014/main" id="{C95C0662-4793-4E7A-9ED4-FE4A90B99666}"/>
            </a:ext>
          </a:extLst>
        </xdr:cNvPr>
        <xdr:cNvCxnSpPr/>
      </xdr:nvCxnSpPr>
      <xdr:spPr>
        <a:xfrm>
          <a:off x="3438525" y="3667125"/>
          <a:ext cx="495300" cy="9525"/>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209550</xdr:colOff>
      <xdr:row>21</xdr:row>
      <xdr:rowOff>161925</xdr:rowOff>
    </xdr:from>
    <xdr:to>
      <xdr:col>7</xdr:col>
      <xdr:colOff>257175</xdr:colOff>
      <xdr:row>21</xdr:row>
      <xdr:rowOff>161925</xdr:rowOff>
    </xdr:to>
    <xdr:cxnSp macro="">
      <xdr:nvCxnSpPr>
        <xdr:cNvPr id="29" name="Gerader Verbinder 28">
          <a:extLst>
            <a:ext uri="{FF2B5EF4-FFF2-40B4-BE49-F238E27FC236}">
              <a16:creationId xmlns:a16="http://schemas.microsoft.com/office/drawing/2014/main" id="{6237EA36-C5B9-4108-9542-B7F0D619DADC}"/>
            </a:ext>
          </a:extLst>
        </xdr:cNvPr>
        <xdr:cNvCxnSpPr/>
      </xdr:nvCxnSpPr>
      <xdr:spPr>
        <a:xfrm>
          <a:off x="971550" y="4238625"/>
          <a:ext cx="4781550"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578953</xdr:colOff>
      <xdr:row>18</xdr:row>
      <xdr:rowOff>162753</xdr:rowOff>
    </xdr:from>
    <xdr:to>
      <xdr:col>4</xdr:col>
      <xdr:colOff>99392</xdr:colOff>
      <xdr:row>20</xdr:row>
      <xdr:rowOff>115127</xdr:rowOff>
    </xdr:to>
    <xdr:sp macro="" textlink="">
      <xdr:nvSpPr>
        <xdr:cNvPr id="37" name="Textfeld 36">
          <a:extLst>
            <a:ext uri="{FF2B5EF4-FFF2-40B4-BE49-F238E27FC236}">
              <a16:creationId xmlns:a16="http://schemas.microsoft.com/office/drawing/2014/main" id="{3108DFE7-E29F-40C3-BA01-5C89DB1E522F}"/>
            </a:ext>
          </a:extLst>
        </xdr:cNvPr>
        <xdr:cNvSpPr txBox="1"/>
      </xdr:nvSpPr>
      <xdr:spPr>
        <a:xfrm>
          <a:off x="2864953" y="3633166"/>
          <a:ext cx="282439"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h</a:t>
          </a:r>
          <a:r>
            <a:rPr lang="de-DE" sz="1800" baseline="-25000"/>
            <a:t>S</a:t>
          </a:r>
          <a:endParaRPr lang="de-DE" sz="1800"/>
        </a:p>
      </xdr:txBody>
    </xdr:sp>
    <xdr:clientData/>
  </xdr:twoCellAnchor>
  <xdr:twoCellAnchor>
    <xdr:from>
      <xdr:col>4</xdr:col>
      <xdr:colOff>24848</xdr:colOff>
      <xdr:row>18</xdr:row>
      <xdr:rowOff>157370</xdr:rowOff>
    </xdr:from>
    <xdr:to>
      <xdr:col>4</xdr:col>
      <xdr:colOff>463827</xdr:colOff>
      <xdr:row>18</xdr:row>
      <xdr:rowOff>157370</xdr:rowOff>
    </xdr:to>
    <xdr:cxnSp macro="">
      <xdr:nvCxnSpPr>
        <xdr:cNvPr id="39" name="Gerader Verbinder 38">
          <a:extLst>
            <a:ext uri="{FF2B5EF4-FFF2-40B4-BE49-F238E27FC236}">
              <a16:creationId xmlns:a16="http://schemas.microsoft.com/office/drawing/2014/main" id="{C20559DC-EBB7-8CEB-DDBC-E67DE4B7D038}"/>
            </a:ext>
          </a:extLst>
        </xdr:cNvPr>
        <xdr:cNvCxnSpPr/>
      </xdr:nvCxnSpPr>
      <xdr:spPr>
        <a:xfrm>
          <a:off x="3072848" y="3627783"/>
          <a:ext cx="438979"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472109</xdr:colOff>
      <xdr:row>19</xdr:row>
      <xdr:rowOff>8283</xdr:rowOff>
    </xdr:from>
    <xdr:to>
      <xdr:col>5</xdr:col>
      <xdr:colOff>281609</xdr:colOff>
      <xdr:row>19</xdr:row>
      <xdr:rowOff>8283</xdr:rowOff>
    </xdr:to>
    <xdr:cxnSp macro="">
      <xdr:nvCxnSpPr>
        <xdr:cNvPr id="41" name="Gerade Verbindung mit Pfeil 40">
          <a:extLst>
            <a:ext uri="{FF2B5EF4-FFF2-40B4-BE49-F238E27FC236}">
              <a16:creationId xmlns:a16="http://schemas.microsoft.com/office/drawing/2014/main" id="{37281737-5BF7-C73F-C3ED-F0704B3D5F9B}"/>
            </a:ext>
          </a:extLst>
        </xdr:cNvPr>
        <xdr:cNvCxnSpPr/>
      </xdr:nvCxnSpPr>
      <xdr:spPr>
        <a:xfrm>
          <a:off x="3520109" y="3669196"/>
          <a:ext cx="571500" cy="0"/>
        </a:xfrm>
        <a:prstGeom prst="straightConnector1">
          <a:avLst/>
        </a:prstGeom>
        <a:ln w="349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98562</xdr:colOff>
      <xdr:row>17</xdr:row>
      <xdr:rowOff>21949</xdr:rowOff>
    </xdr:from>
    <xdr:to>
      <xdr:col>5</xdr:col>
      <xdr:colOff>546238</xdr:colOff>
      <xdr:row>18</xdr:row>
      <xdr:rowOff>164823</xdr:rowOff>
    </xdr:to>
    <xdr:sp macro="" textlink="">
      <xdr:nvSpPr>
        <xdr:cNvPr id="42" name="Textfeld 41">
          <a:extLst>
            <a:ext uri="{FF2B5EF4-FFF2-40B4-BE49-F238E27FC236}">
              <a16:creationId xmlns:a16="http://schemas.microsoft.com/office/drawing/2014/main" id="{FE6A4F1A-9EA3-41B8-93D5-523447DB94FB}"/>
            </a:ext>
          </a:extLst>
        </xdr:cNvPr>
        <xdr:cNvSpPr txBox="1"/>
      </xdr:nvSpPr>
      <xdr:spPr>
        <a:xfrm>
          <a:off x="3908562" y="3301862"/>
          <a:ext cx="447676"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de-DE" sz="1800"/>
            <a:t>F</a:t>
          </a:r>
          <a:r>
            <a:rPr lang="de-DE" sz="1800" baseline="-25000"/>
            <a:t>B</a:t>
          </a:r>
          <a:endParaRPr lang="de-DE" sz="1800"/>
        </a:p>
      </xdr:txBody>
    </xdr:sp>
    <xdr:clientData/>
  </xdr:twoCellAnchor>
  <xdr:oneCellAnchor>
    <xdr:from>
      <xdr:col>1</xdr:col>
      <xdr:colOff>630115</xdr:colOff>
      <xdr:row>50</xdr:row>
      <xdr:rowOff>43961</xdr:rowOff>
    </xdr:from>
    <xdr:ext cx="4295775" cy="471488"/>
    <mc:AlternateContent xmlns:mc="http://schemas.openxmlformats.org/markup-compatibility/2006" xmlns:a14="http://schemas.microsoft.com/office/drawing/2010/main">
      <mc:Choice Requires="a14">
        <xdr:sp macro="" textlink="">
          <xdr:nvSpPr>
            <xdr:cNvPr id="43" name="Textfeld 42">
              <a:extLst>
                <a:ext uri="{FF2B5EF4-FFF2-40B4-BE49-F238E27FC236}">
                  <a16:creationId xmlns:a16="http://schemas.microsoft.com/office/drawing/2014/main" id="{C9505875-27DD-4801-8CC9-F50C5D252E40}"/>
                </a:ext>
              </a:extLst>
            </xdr:cNvPr>
            <xdr:cNvSpPr txBox="1"/>
          </xdr:nvSpPr>
          <xdr:spPr>
            <a:xfrm>
              <a:off x="1392115" y="10360269"/>
              <a:ext cx="4295775" cy="4714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nary>
                      <m:naryPr>
                        <m:chr m:val="∑"/>
                        <m:subHide m:val="on"/>
                        <m:supHide m:val="on"/>
                        <m:ctrlPr>
                          <a:rPr lang="de-DE" sz="1100" i="1">
                            <a:latin typeface="Cambria Math" panose="02040503050406030204" pitchFamily="18" charset="0"/>
                          </a:rPr>
                        </m:ctrlPr>
                      </m:naryPr>
                      <m:sub/>
                      <m:sup/>
                      <m:e>
                        <m:sSub>
                          <m:sSubPr>
                            <m:ctrlPr>
                              <a:rPr lang="de-DE" sz="1100" i="1">
                                <a:latin typeface="Cambria Math" panose="02040503050406030204" pitchFamily="18" charset="0"/>
                              </a:rPr>
                            </m:ctrlPr>
                          </m:sSubPr>
                          <m:e>
                            <m:r>
                              <a:rPr lang="de-DE" sz="1100" b="0" i="1">
                                <a:latin typeface="Cambria Math"/>
                              </a:rPr>
                              <m:t>𝑀</m:t>
                            </m:r>
                          </m:e>
                          <m:sub>
                            <m:r>
                              <a:rPr lang="de-DE" sz="1100" b="0" i="1">
                                <a:latin typeface="Cambria Math"/>
                              </a:rPr>
                              <m:t>h</m:t>
                            </m:r>
                          </m:sub>
                        </m:sSub>
                        <m:r>
                          <a:rPr lang="de-DE" sz="1100" b="0" i="1">
                            <a:latin typeface="Cambria Math"/>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𝐺</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𝑙</m:t>
                            </m:r>
                          </m:e>
                          <m:sub>
                            <m:r>
                              <a:rPr lang="de-DE" sz="1100" b="0" i="1">
                                <a:solidFill>
                                  <a:schemeClr val="tx1"/>
                                </a:solidFill>
                                <a:effectLst/>
                                <a:latin typeface="Cambria Math" panose="02040503050406030204" pitchFamily="18" charset="0"/>
                                <a:ea typeface="+mn-ea"/>
                                <a:cs typeface="+mn-cs"/>
                              </a:rPr>
                              <m:t>h</m:t>
                            </m:r>
                          </m:sub>
                        </m:sSub>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𝑆</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𝑁𝑣</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𝑙</m:t>
                            </m:r>
                          </m:e>
                          <m:sub>
                            <m:r>
                              <a:rPr lang="de-DE" sz="1100" b="0" i="1">
                                <a:solidFill>
                                  <a:schemeClr val="tx1"/>
                                </a:solidFill>
                                <a:effectLst/>
                                <a:latin typeface="Cambria Math" panose="02040503050406030204" pitchFamily="18" charset="0"/>
                                <a:ea typeface="+mn-ea"/>
                                <a:cs typeface="+mn-cs"/>
                              </a:rPr>
                              <m:t>0</m:t>
                            </m:r>
                          </m:sub>
                        </m:sSub>
                      </m:e>
                    </m:nary>
                    <m:r>
                      <a:rPr lang="de-DE" sz="1100" b="0" i="1">
                        <a:latin typeface="Cambria Math"/>
                      </a:rPr>
                      <m:t>−</m:t>
                    </m:r>
                    <m:sSub>
                      <m:sSubPr>
                        <m:ctrlPr>
                          <a:rPr lang="de-DE" sz="1100" b="0" i="1">
                            <a:latin typeface="Cambria Math" panose="02040503050406030204" pitchFamily="18" charset="0"/>
                          </a:rPr>
                        </m:ctrlPr>
                      </m:sSubPr>
                      <m:e>
                        <m:r>
                          <a:rPr lang="de-DE" sz="1100" b="0" i="1">
                            <a:latin typeface="Cambria Math"/>
                          </a:rPr>
                          <m:t>𝐹</m:t>
                        </m:r>
                      </m:e>
                      <m:sub>
                        <m:r>
                          <a:rPr lang="de-DE" sz="1100" b="0" i="1">
                            <a:latin typeface="Cambria Math"/>
                          </a:rPr>
                          <m:t>𝐿𝑊</m:t>
                        </m:r>
                      </m:sub>
                    </m:sSub>
                    <m:r>
                      <a:rPr lang="de-DE" sz="1100" b="0" i="1">
                        <a:latin typeface="Cambria Math"/>
                      </a:rPr>
                      <m:t>∗</m:t>
                    </m:r>
                    <m:sSub>
                      <m:sSubPr>
                        <m:ctrlPr>
                          <a:rPr lang="de-DE" sz="1100" b="0" i="1">
                            <a:latin typeface="Cambria Math" panose="02040503050406030204" pitchFamily="18" charset="0"/>
                          </a:rPr>
                        </m:ctrlPr>
                      </m:sSubPr>
                      <m:e>
                        <m:r>
                          <a:rPr lang="de-DE" sz="1100" b="0" i="1">
                            <a:latin typeface="Cambria Math"/>
                          </a:rPr>
                          <m:t>h</m:t>
                        </m:r>
                      </m:e>
                      <m:sub>
                        <m:r>
                          <a:rPr lang="de-DE" sz="1100" b="0" i="1">
                            <a:latin typeface="Cambria Math"/>
                          </a:rPr>
                          <m:t>𝐿𝑊</m:t>
                        </m:r>
                      </m:sub>
                    </m:sSub>
                    <m:r>
                      <a:rPr lang="de-DE" sz="1100" b="0" i="1">
                        <a:latin typeface="Cambria Math"/>
                      </a:rPr>
                      <m:t>=0</m:t>
                    </m:r>
                  </m:oMath>
                </m:oMathPara>
              </a14:m>
              <a:endParaRPr lang="de-DE" sz="1100"/>
            </a:p>
          </xdr:txBody>
        </xdr:sp>
      </mc:Choice>
      <mc:Fallback xmlns="">
        <xdr:sp macro="" textlink="">
          <xdr:nvSpPr>
            <xdr:cNvPr id="43" name="Textfeld 42">
              <a:extLst>
                <a:ext uri="{FF2B5EF4-FFF2-40B4-BE49-F238E27FC236}">
                  <a16:creationId xmlns:a16="http://schemas.microsoft.com/office/drawing/2014/main" id="{C9505875-27DD-4801-8CC9-F50C5D252E40}"/>
                </a:ext>
              </a:extLst>
            </xdr:cNvPr>
            <xdr:cNvSpPr txBox="1"/>
          </xdr:nvSpPr>
          <xdr:spPr>
            <a:xfrm>
              <a:off x="1392115" y="10360269"/>
              <a:ext cx="4295775" cy="4714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100" i="0">
                  <a:latin typeface="Cambria Math" panose="02040503050406030204" pitchFamily="18" charset="0"/>
                </a:rPr>
                <a:t>∑</a:t>
              </a:r>
              <a:r>
                <a:rPr lang="de-DE" sz="1100" b="0" i="0">
                  <a:solidFill>
                    <a:schemeClr val="tx1"/>
                  </a:solidFill>
                  <a:effectLst/>
                  <a:latin typeface="Cambria Math" panose="02040503050406030204" pitchFamily="18" charset="0"/>
                  <a:ea typeface="+mn-ea"/>
                  <a:cs typeface="+mn-cs"/>
                </a:rPr>
                <a:t>▒〖</a:t>
              </a:r>
              <a:r>
                <a:rPr lang="de-DE" sz="1100" b="0" i="0">
                  <a:latin typeface="Cambria Math"/>
                </a:rPr>
                <a:t>𝑀</a:t>
              </a:r>
              <a:r>
                <a:rPr lang="de-DE" sz="1100" b="0" i="0">
                  <a:latin typeface="Cambria Math" panose="02040503050406030204" pitchFamily="18" charset="0"/>
                </a:rPr>
                <a:t>_</a:t>
              </a:r>
              <a:r>
                <a:rPr lang="de-DE" sz="1100" b="0" i="0">
                  <a:latin typeface="Cambria Math"/>
                </a:rPr>
                <a:t>ℎ=</a:t>
              </a:r>
              <a:r>
                <a:rPr lang="de-DE" sz="1100" b="0" i="0">
                  <a:solidFill>
                    <a:schemeClr val="tx1"/>
                  </a:solidFill>
                  <a:effectLst/>
                  <a:latin typeface="Cambria Math" panose="02040503050406030204" pitchFamily="18" charset="0"/>
                  <a:ea typeface="+mn-ea"/>
                  <a:cs typeface="+mn-cs"/>
                </a:rPr>
                <a:t>𝐹_𝐺∗𝑙_ℎ+ 𝐹_𝐵∗ℎ_𝑆−𝐹_𝑁𝑣∗𝑙_0 〗</a:t>
              </a:r>
              <a:r>
                <a:rPr lang="de-DE" sz="1100" b="0" i="0">
                  <a:latin typeface="Cambria Math"/>
                </a:rPr>
                <a:t>−𝐹</a:t>
              </a:r>
              <a:r>
                <a:rPr lang="de-DE" sz="1100" b="0" i="0">
                  <a:latin typeface="Cambria Math" panose="02040503050406030204" pitchFamily="18" charset="0"/>
                </a:rPr>
                <a:t>_</a:t>
              </a:r>
              <a:r>
                <a:rPr lang="de-DE" sz="1100" b="0" i="0">
                  <a:latin typeface="Cambria Math"/>
                </a:rPr>
                <a:t>𝐿𝑊∗ℎ</a:t>
              </a:r>
              <a:r>
                <a:rPr lang="de-DE" sz="1100" b="0" i="0">
                  <a:latin typeface="Cambria Math" panose="02040503050406030204" pitchFamily="18" charset="0"/>
                </a:rPr>
                <a:t>_</a:t>
              </a:r>
              <a:r>
                <a:rPr lang="de-DE" sz="1100" b="0" i="0">
                  <a:latin typeface="Cambria Math"/>
                </a:rPr>
                <a:t>𝐿𝑊=0</a:t>
              </a:r>
              <a:endParaRPr lang="de-DE" sz="1100"/>
            </a:p>
          </xdr:txBody>
        </xdr:sp>
      </mc:Fallback>
    </mc:AlternateContent>
    <xdr:clientData/>
  </xdr:oneCellAnchor>
  <xdr:twoCellAnchor>
    <xdr:from>
      <xdr:col>6</xdr:col>
      <xdr:colOff>207065</xdr:colOff>
      <xdr:row>10</xdr:row>
      <xdr:rowOff>173934</xdr:rowOff>
    </xdr:from>
    <xdr:to>
      <xdr:col>6</xdr:col>
      <xdr:colOff>786848</xdr:colOff>
      <xdr:row>12</xdr:row>
      <xdr:rowOff>57978</xdr:rowOff>
    </xdr:to>
    <xdr:sp macro="" textlink="">
      <xdr:nvSpPr>
        <xdr:cNvPr id="44" name="Pfeil: nach unten gekrümmt 43">
          <a:extLst>
            <a:ext uri="{FF2B5EF4-FFF2-40B4-BE49-F238E27FC236}">
              <a16:creationId xmlns:a16="http://schemas.microsoft.com/office/drawing/2014/main" id="{EE81031D-2A12-61B1-CBF3-002C99D315CC}"/>
            </a:ext>
          </a:extLst>
        </xdr:cNvPr>
        <xdr:cNvSpPr/>
      </xdr:nvSpPr>
      <xdr:spPr>
        <a:xfrm>
          <a:off x="4878456" y="2078934"/>
          <a:ext cx="579783" cy="306457"/>
        </a:xfrm>
        <a:prstGeom prst="curved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solidFill>
              <a:schemeClr val="tx1"/>
            </a:solidFill>
          </a:endParaRPr>
        </a:p>
      </xdr:txBody>
    </xdr:sp>
    <xdr:clientData/>
  </xdr:twoCellAnchor>
  <xdr:twoCellAnchor>
    <xdr:from>
      <xdr:col>6</xdr:col>
      <xdr:colOff>379523</xdr:colOff>
      <xdr:row>11</xdr:row>
      <xdr:rowOff>74545</xdr:rowOff>
    </xdr:from>
    <xdr:to>
      <xdr:col>6</xdr:col>
      <xdr:colOff>551091</xdr:colOff>
      <xdr:row>12</xdr:row>
      <xdr:rowOff>51027</xdr:rowOff>
    </xdr:to>
    <xdr:sp macro="" textlink="">
      <xdr:nvSpPr>
        <xdr:cNvPr id="45" name="Kreuz 44">
          <a:extLst>
            <a:ext uri="{FF2B5EF4-FFF2-40B4-BE49-F238E27FC236}">
              <a16:creationId xmlns:a16="http://schemas.microsoft.com/office/drawing/2014/main" id="{F585CEBA-FDD8-78A1-7A66-AD11D08E43BA}"/>
            </a:ext>
          </a:extLst>
        </xdr:cNvPr>
        <xdr:cNvSpPr/>
      </xdr:nvSpPr>
      <xdr:spPr>
        <a:xfrm>
          <a:off x="5046773" y="2207465"/>
          <a:ext cx="171568" cy="166982"/>
        </a:xfrm>
        <a:prstGeom prst="plus">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oneCellAnchor>
    <xdr:from>
      <xdr:col>0</xdr:col>
      <xdr:colOff>0</xdr:colOff>
      <xdr:row>52</xdr:row>
      <xdr:rowOff>124558</xdr:rowOff>
    </xdr:from>
    <xdr:ext cx="2813539" cy="319088"/>
    <mc:AlternateContent xmlns:mc="http://schemas.openxmlformats.org/markup-compatibility/2006" xmlns:a14="http://schemas.microsoft.com/office/drawing/2010/main">
      <mc:Choice Requires="a14">
        <xdr:sp macro="" textlink="">
          <xdr:nvSpPr>
            <xdr:cNvPr id="46" name="Textfeld 45">
              <a:extLst>
                <a:ext uri="{FF2B5EF4-FFF2-40B4-BE49-F238E27FC236}">
                  <a16:creationId xmlns:a16="http://schemas.microsoft.com/office/drawing/2014/main" id="{5C8E9D54-2AFE-445A-BE69-6F373EFC1D98}"/>
                </a:ext>
              </a:extLst>
            </xdr:cNvPr>
            <xdr:cNvSpPr txBox="1"/>
          </xdr:nvSpPr>
          <xdr:spPr>
            <a:xfrm>
              <a:off x="0" y="13408270"/>
              <a:ext cx="2813539" cy="319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𝑁𝑣</m:t>
                        </m:r>
                      </m:sub>
                    </m:sSub>
                    <m:r>
                      <a:rPr lang="de-DE" sz="1100" b="0" i="1">
                        <a:latin typeface="Cambria Math"/>
                      </a:rPr>
                      <m:t>∗</m:t>
                    </m:r>
                    <m:sSub>
                      <m:sSubPr>
                        <m:ctrlPr>
                          <a:rPr lang="de-DE" sz="1100" b="0" i="1">
                            <a:latin typeface="Cambria Math" panose="02040503050406030204" pitchFamily="18" charset="0"/>
                          </a:rPr>
                        </m:ctrlPr>
                      </m:sSubPr>
                      <m:e>
                        <m:r>
                          <a:rPr lang="de-DE" sz="1100" b="0" i="1">
                            <a:latin typeface="Cambria Math"/>
                          </a:rPr>
                          <m:t>𝑙</m:t>
                        </m:r>
                      </m:e>
                      <m:sub>
                        <m:r>
                          <a:rPr lang="de-DE" sz="1100" b="0" i="1">
                            <a:latin typeface="Cambria Math"/>
                          </a:rPr>
                          <m:t>0</m:t>
                        </m:r>
                      </m:sub>
                    </m:sSub>
                    <m:r>
                      <a:rPr lang="de-DE" sz="1100" b="0" i="1">
                        <a:latin typeface="Cambria Math"/>
                      </a:rPr>
                      <m:t>=</m:t>
                    </m:r>
                    <m:sSub>
                      <m:sSubPr>
                        <m:ctrlPr>
                          <a:rPr lang="de-DE" sz="1100" b="0" i="1">
                            <a:solidFill>
                              <a:schemeClr val="tx1"/>
                            </a:solidFill>
                            <a:effectLst/>
                            <a:latin typeface="Cambria Math" panose="02040503050406030204" pitchFamily="18" charset="0"/>
                            <a:ea typeface="+mn-ea"/>
                            <a:cs typeface="+mn-cs"/>
                          </a:rPr>
                        </m:ctrlPr>
                      </m:sSubPr>
                      <m:e>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𝐺</m:t>
                            </m:r>
                          </m:sub>
                        </m:sSub>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𝑙</m:t>
                            </m:r>
                          </m:e>
                          <m:sub>
                            <m:r>
                              <a:rPr lang="de-DE" sz="1100" b="0" i="1">
                                <a:solidFill>
                                  <a:schemeClr val="tx1"/>
                                </a:solidFill>
                                <a:effectLst/>
                                <a:latin typeface="Cambria Math"/>
                                <a:ea typeface="+mn-ea"/>
                                <a:cs typeface="+mn-cs"/>
                              </a:rPr>
                              <m:t>h</m:t>
                            </m:r>
                          </m:sub>
                        </m:sSub>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𝑆</m:t>
                            </m:r>
                          </m:sub>
                        </m:sSub>
                        <m:r>
                          <a:rPr lang="de-DE" sz="1100" b="0" i="1">
                            <a:solidFill>
                              <a:schemeClr val="tx1"/>
                            </a:solidFill>
                            <a:effectLst/>
                            <a:latin typeface="Cambria Math"/>
                            <a:ea typeface="+mn-ea"/>
                            <a:cs typeface="+mn-cs"/>
                          </a:rPr>
                          <m:t>−</m:t>
                        </m:r>
                        <m:r>
                          <a:rPr lang="de-DE" sz="1100" b="0" i="1">
                            <a:solidFill>
                              <a:schemeClr val="tx1"/>
                            </a:solidFill>
                            <a:effectLst/>
                            <a:latin typeface="Cambria Math"/>
                            <a:ea typeface="+mn-ea"/>
                            <a:cs typeface="+mn-cs"/>
                          </a:rPr>
                          <m:t>𝐹</m:t>
                        </m:r>
                      </m:e>
                      <m:sub>
                        <m:r>
                          <a:rPr lang="de-DE" sz="1100" b="0" i="1">
                            <a:solidFill>
                              <a:schemeClr val="tx1"/>
                            </a:solidFill>
                            <a:effectLst/>
                            <a:latin typeface="Cambria Math"/>
                            <a:ea typeface="+mn-ea"/>
                            <a:cs typeface="+mn-cs"/>
                          </a:rPr>
                          <m:t>𝐿𝑊</m:t>
                        </m:r>
                      </m:sub>
                    </m:sSub>
                    <m:r>
                      <a:rPr lang="de-DE" sz="1100" b="0" i="1">
                        <a:solidFill>
                          <a:schemeClr val="tx1"/>
                        </a:solidFill>
                        <a:effectLst/>
                        <a:latin typeface="Cambria Math"/>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a:ea typeface="+mn-ea"/>
                            <a:cs typeface="+mn-cs"/>
                          </a:rPr>
                          <m:t>h</m:t>
                        </m:r>
                      </m:e>
                      <m:sub>
                        <m:r>
                          <a:rPr lang="de-DE" sz="1100" b="0" i="1">
                            <a:solidFill>
                              <a:schemeClr val="tx1"/>
                            </a:solidFill>
                            <a:effectLst/>
                            <a:latin typeface="Cambria Math" panose="02040503050406030204" pitchFamily="18" charset="0"/>
                            <a:ea typeface="+mn-ea"/>
                            <a:cs typeface="+mn-cs"/>
                          </a:rPr>
                          <m:t>𝐿𝑊</m:t>
                        </m:r>
                      </m:sub>
                    </m:sSub>
                    <m:r>
                      <m:rPr>
                        <m:nor/>
                      </m:rPr>
                      <a:rPr lang="de-DE" sz="1100" i="1">
                        <a:solidFill>
                          <a:schemeClr val="tx1"/>
                        </a:solidFill>
                        <a:effectLst/>
                        <a:latin typeface="+mn-lt"/>
                        <a:ea typeface="+mn-ea"/>
                        <a:cs typeface="+mn-cs"/>
                      </a:rPr>
                      <m:t>  </m:t>
                    </m:r>
                  </m:oMath>
                </m:oMathPara>
              </a14:m>
              <a:endParaRPr lang="de-DE" sz="1100"/>
            </a:p>
          </xdr:txBody>
        </xdr:sp>
      </mc:Choice>
      <mc:Fallback xmlns="">
        <xdr:sp macro="" textlink="">
          <xdr:nvSpPr>
            <xdr:cNvPr id="46" name="Textfeld 45">
              <a:extLst>
                <a:ext uri="{FF2B5EF4-FFF2-40B4-BE49-F238E27FC236}">
                  <a16:creationId xmlns:a16="http://schemas.microsoft.com/office/drawing/2014/main" id="{5C8E9D54-2AFE-445A-BE69-6F373EFC1D98}"/>
                </a:ext>
              </a:extLst>
            </xdr:cNvPr>
            <xdr:cNvSpPr txBox="1"/>
          </xdr:nvSpPr>
          <xdr:spPr>
            <a:xfrm>
              <a:off x="0" y="13408270"/>
              <a:ext cx="2813539" cy="319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100" b="0" i="0">
                  <a:latin typeface="Cambria Math" panose="02040503050406030204" pitchFamily="18" charset="0"/>
                </a:rPr>
                <a:t>𝐹_𝑁𝑣</a:t>
              </a:r>
              <a:r>
                <a:rPr lang="de-DE" sz="1100" b="0" i="0">
                  <a:latin typeface="Cambria Math"/>
                </a:rPr>
                <a:t>∗𝑙</a:t>
              </a:r>
              <a:r>
                <a:rPr lang="de-DE" sz="1100" b="0" i="0">
                  <a:latin typeface="Cambria Math" panose="02040503050406030204" pitchFamily="18" charset="0"/>
                </a:rPr>
                <a:t>_</a:t>
              </a:r>
              <a:r>
                <a:rPr lang="de-DE" sz="1100" b="0" i="0">
                  <a:latin typeface="Cambria Math"/>
                </a:rPr>
                <a:t>0=</a:t>
              </a:r>
              <a:r>
                <a:rPr lang="de-DE" sz="1100" b="0" i="0">
                  <a:solidFill>
                    <a:schemeClr val="tx1"/>
                  </a:solidFill>
                  <a:effectLst/>
                  <a:latin typeface="Cambria Math" panose="02040503050406030204" pitchFamily="18" charset="0"/>
                  <a:ea typeface="+mn-ea"/>
                  <a:cs typeface="+mn-cs"/>
                </a:rPr>
                <a:t>〖𝐹_𝐺</a:t>
              </a:r>
              <a:r>
                <a:rPr lang="de-DE" sz="1100" b="0" i="0">
                  <a:solidFill>
                    <a:schemeClr val="tx1"/>
                  </a:solidFill>
                  <a:effectLst/>
                  <a:latin typeface="Cambria Math"/>
                  <a:ea typeface="+mn-ea"/>
                  <a:cs typeface="+mn-cs"/>
                </a:rPr>
                <a:t>∗𝑙</a:t>
              </a:r>
              <a:r>
                <a:rPr lang="de-DE" sz="1100" b="0" i="0">
                  <a:solidFill>
                    <a:schemeClr val="tx1"/>
                  </a:solidFill>
                  <a:effectLst/>
                  <a:latin typeface="Cambria Math" panose="02040503050406030204" pitchFamily="18" charset="0"/>
                  <a:ea typeface="+mn-ea"/>
                  <a:cs typeface="+mn-cs"/>
                </a:rPr>
                <a:t>_</a:t>
              </a:r>
              <a:r>
                <a:rPr lang="de-DE" sz="1100" b="0" i="0">
                  <a:solidFill>
                    <a:schemeClr val="tx1"/>
                  </a:solidFill>
                  <a:effectLst/>
                  <a:latin typeface="Cambria Math"/>
                  <a:ea typeface="+mn-ea"/>
                  <a:cs typeface="+mn-cs"/>
                </a:rPr>
                <a:t>ℎ</a:t>
              </a:r>
              <a:r>
                <a:rPr lang="de-DE" sz="1100" b="0" i="0">
                  <a:solidFill>
                    <a:schemeClr val="tx1"/>
                  </a:solidFill>
                  <a:effectLst/>
                  <a:latin typeface="+mn-lt"/>
                  <a:ea typeface="+mn-ea"/>
                  <a:cs typeface="+mn-cs"/>
                </a:rPr>
                <a:t>+ 𝐹_𝐵∗ℎ_𝑆</a:t>
              </a:r>
              <a:r>
                <a:rPr lang="de-DE" sz="1100" b="0" i="0">
                  <a:solidFill>
                    <a:schemeClr val="tx1"/>
                  </a:solidFill>
                  <a:effectLst/>
                  <a:latin typeface="Cambria Math"/>
                  <a:ea typeface="+mn-ea"/>
                  <a:cs typeface="+mn-cs"/>
                </a:rPr>
                <a:t>−𝐹</a:t>
              </a:r>
              <a:r>
                <a:rPr lang="de-DE" sz="1100" b="0" i="0">
                  <a:solidFill>
                    <a:schemeClr val="tx1"/>
                  </a:solidFill>
                  <a:effectLst/>
                  <a:latin typeface="Cambria Math" panose="02040503050406030204" pitchFamily="18" charset="0"/>
                  <a:ea typeface="+mn-ea"/>
                  <a:cs typeface="+mn-cs"/>
                </a:rPr>
                <a:t>〗_</a:t>
              </a:r>
              <a:r>
                <a:rPr lang="de-DE" sz="1100" b="0" i="0">
                  <a:solidFill>
                    <a:schemeClr val="tx1"/>
                  </a:solidFill>
                  <a:effectLst/>
                  <a:latin typeface="Cambria Math"/>
                  <a:ea typeface="+mn-ea"/>
                  <a:cs typeface="+mn-cs"/>
                </a:rPr>
                <a:t>𝐿𝑊∗ℎ</a:t>
              </a:r>
              <a:r>
                <a:rPr lang="de-DE" sz="1100" b="0" i="0">
                  <a:solidFill>
                    <a:schemeClr val="tx1"/>
                  </a:solidFill>
                  <a:effectLst/>
                  <a:latin typeface="Cambria Math" panose="02040503050406030204" pitchFamily="18" charset="0"/>
                  <a:ea typeface="+mn-ea"/>
                  <a:cs typeface="+mn-cs"/>
                </a:rPr>
                <a:t>_𝐿𝑊</a:t>
              </a:r>
              <a:r>
                <a:rPr lang="de-DE" sz="1100" b="0" i="0">
                  <a:solidFill>
                    <a:schemeClr val="tx1"/>
                  </a:solidFill>
                  <a:effectLst/>
                  <a:latin typeface="+mn-lt"/>
                  <a:ea typeface="+mn-ea"/>
                  <a:cs typeface="+mn-cs"/>
                </a:rPr>
                <a:t> </a:t>
              </a:r>
              <a:r>
                <a:rPr lang="de-DE" sz="1100" b="0" i="0">
                  <a:solidFill>
                    <a:schemeClr val="tx1"/>
                  </a:solidFill>
                  <a:effectLst/>
                  <a:latin typeface="Cambria Math" panose="02040503050406030204" pitchFamily="18" charset="0"/>
                  <a:ea typeface="+mn-ea"/>
                  <a:cs typeface="+mn-cs"/>
                </a:rPr>
                <a:t>"</a:t>
              </a:r>
              <a:r>
                <a:rPr lang="de-DE" sz="1100" i="0">
                  <a:solidFill>
                    <a:schemeClr val="tx1"/>
                  </a:solidFill>
                  <a:effectLst/>
                  <a:latin typeface="Cambria Math" panose="02040503050406030204" pitchFamily="18" charset="0"/>
                  <a:ea typeface="+mn-ea"/>
                  <a:cs typeface="+mn-cs"/>
                </a:rPr>
                <a:t>  </a:t>
              </a:r>
              <a:r>
                <a:rPr lang="de-DE" sz="1100" i="0">
                  <a:solidFill>
                    <a:schemeClr val="tx1"/>
                  </a:solidFill>
                  <a:effectLst/>
                  <a:latin typeface="+mn-lt"/>
                  <a:ea typeface="+mn-ea"/>
                  <a:cs typeface="+mn-cs"/>
                </a:rPr>
                <a:t>"</a:t>
              </a:r>
              <a:endParaRPr lang="de-DE" sz="1100"/>
            </a:p>
          </xdr:txBody>
        </xdr:sp>
      </mc:Fallback>
    </mc:AlternateContent>
    <xdr:clientData/>
  </xdr:oneCellAnchor>
  <xdr:oneCellAnchor>
    <xdr:from>
      <xdr:col>2</xdr:col>
      <xdr:colOff>95250</xdr:colOff>
      <xdr:row>54</xdr:row>
      <xdr:rowOff>43961</xdr:rowOff>
    </xdr:from>
    <xdr:ext cx="3390900" cy="404813"/>
    <mc:AlternateContent xmlns:mc="http://schemas.openxmlformats.org/markup-compatibility/2006" xmlns:a14="http://schemas.microsoft.com/office/drawing/2010/main">
      <mc:Choice Requires="a14">
        <xdr:sp macro="" textlink="">
          <xdr:nvSpPr>
            <xdr:cNvPr id="47" name="Textfeld 46">
              <a:extLst>
                <a:ext uri="{FF2B5EF4-FFF2-40B4-BE49-F238E27FC236}">
                  <a16:creationId xmlns:a16="http://schemas.microsoft.com/office/drawing/2014/main" id="{78E5F973-FA68-481F-88CA-209FD27E9496}"/>
                </a:ext>
              </a:extLst>
            </xdr:cNvPr>
            <xdr:cNvSpPr txBox="1"/>
          </xdr:nvSpPr>
          <xdr:spPr>
            <a:xfrm>
              <a:off x="1619250" y="11122269"/>
              <a:ext cx="3390900"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𝑁𝑣</m:t>
                        </m:r>
                      </m:sub>
                    </m:sSub>
                    <m:r>
                      <a:rPr lang="de-DE" sz="1100" b="0" i="1">
                        <a:latin typeface="Cambria Math"/>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sSub>
                          <m:sSubPr>
                            <m:ctrlPr>
                              <a:rPr lang="de-DE" sz="1100" b="0" i="1">
                                <a:latin typeface="Cambria Math" panose="02040503050406030204" pitchFamily="18" charset="0"/>
                              </a:rPr>
                            </m:ctrlPr>
                          </m:sSubPr>
                          <m:e>
                            <m:r>
                              <a:rPr lang="de-DE" sz="1100" b="0" i="1">
                                <a:latin typeface="Cambria Math"/>
                              </a:rPr>
                              <m:t>𝑙</m:t>
                            </m:r>
                          </m:e>
                          <m:sub>
                            <m:r>
                              <a:rPr lang="de-DE" sz="1100" b="0" i="1">
                                <a:latin typeface="Cambria Math"/>
                              </a:rPr>
                              <m:t>0</m:t>
                            </m:r>
                          </m:sub>
                        </m:sSub>
                      </m:den>
                    </m:f>
                    <m:d>
                      <m:dPr>
                        <m:ctrlPr>
                          <a:rPr lang="de-DE" sz="1100" b="0" i="1">
                            <a:latin typeface="Cambria Math" panose="02040503050406030204" pitchFamily="18" charset="0"/>
                          </a:rPr>
                        </m:ctrlPr>
                      </m:dPr>
                      <m:e>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𝐺</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𝑙</m:t>
                            </m:r>
                          </m:e>
                          <m:sub>
                            <m:r>
                              <a:rPr lang="de-DE" sz="1100" b="0" i="1">
                                <a:solidFill>
                                  <a:schemeClr val="tx1"/>
                                </a:solidFill>
                                <a:effectLst/>
                                <a:latin typeface="Cambria Math" panose="02040503050406030204" pitchFamily="18" charset="0"/>
                                <a:ea typeface="+mn-ea"/>
                                <a:cs typeface="+mn-cs"/>
                              </a:rPr>
                              <m:t>h</m:t>
                            </m:r>
                          </m:sub>
                        </m:sSub>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𝐵</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𝑆</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𝐹</m:t>
                            </m:r>
                          </m:e>
                          <m:sub>
                            <m:r>
                              <a:rPr lang="de-DE" sz="1100" b="0" i="1">
                                <a:solidFill>
                                  <a:schemeClr val="tx1"/>
                                </a:solidFill>
                                <a:effectLst/>
                                <a:latin typeface="Cambria Math" panose="02040503050406030204" pitchFamily="18" charset="0"/>
                                <a:ea typeface="+mn-ea"/>
                                <a:cs typeface="+mn-cs"/>
                              </a:rPr>
                              <m:t>𝐿𝑊</m:t>
                            </m:r>
                          </m:sub>
                        </m:sSub>
                        <m:r>
                          <a:rPr lang="de-DE" sz="1100" b="0" i="1">
                            <a:solidFill>
                              <a:schemeClr val="tx1"/>
                            </a:solidFill>
                            <a:effectLst/>
                            <a:latin typeface="Cambria Math" panose="02040503050406030204" pitchFamily="18" charset="0"/>
                            <a:ea typeface="+mn-ea"/>
                            <a:cs typeface="+mn-cs"/>
                          </a:rPr>
                          <m:t>∗</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h</m:t>
                            </m:r>
                          </m:e>
                          <m:sub>
                            <m:r>
                              <a:rPr lang="de-DE" sz="1100" b="0" i="1">
                                <a:solidFill>
                                  <a:schemeClr val="tx1"/>
                                </a:solidFill>
                                <a:effectLst/>
                                <a:latin typeface="Cambria Math" panose="02040503050406030204" pitchFamily="18" charset="0"/>
                                <a:ea typeface="+mn-ea"/>
                                <a:cs typeface="+mn-cs"/>
                              </a:rPr>
                              <m:t>𝐿𝑊</m:t>
                            </m:r>
                          </m:sub>
                        </m:sSub>
                        <m:r>
                          <m:rPr>
                            <m:nor/>
                          </m:rPr>
                          <a:rPr lang="de-DE" sz="1100" i="1">
                            <a:solidFill>
                              <a:schemeClr val="tx1"/>
                            </a:solidFill>
                            <a:effectLst/>
                            <a:latin typeface="+mn-lt"/>
                            <a:ea typeface="+mn-ea"/>
                            <a:cs typeface="+mn-cs"/>
                          </a:rPr>
                          <m:t>  </m:t>
                        </m:r>
                      </m:e>
                    </m:d>
                  </m:oMath>
                </m:oMathPara>
              </a14:m>
              <a:endParaRPr lang="de-DE" sz="1100"/>
            </a:p>
          </xdr:txBody>
        </xdr:sp>
      </mc:Choice>
      <mc:Fallback xmlns="">
        <xdr:sp macro="" textlink="">
          <xdr:nvSpPr>
            <xdr:cNvPr id="47" name="Textfeld 46">
              <a:extLst>
                <a:ext uri="{FF2B5EF4-FFF2-40B4-BE49-F238E27FC236}">
                  <a16:creationId xmlns:a16="http://schemas.microsoft.com/office/drawing/2014/main" id="{78E5F973-FA68-481F-88CA-209FD27E9496}"/>
                </a:ext>
              </a:extLst>
            </xdr:cNvPr>
            <xdr:cNvSpPr txBox="1"/>
          </xdr:nvSpPr>
          <xdr:spPr>
            <a:xfrm>
              <a:off x="1619250" y="11122269"/>
              <a:ext cx="3390900"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de-DE" sz="1100" b="0" i="0">
                  <a:latin typeface="Cambria Math" panose="02040503050406030204" pitchFamily="18" charset="0"/>
                </a:rPr>
                <a:t>𝐹_𝑁𝑣</a:t>
              </a:r>
              <a:r>
                <a:rPr lang="de-DE" sz="1100" b="0" i="0">
                  <a:latin typeface="Cambria Math"/>
                </a:rPr>
                <a:t>=</a:t>
              </a:r>
              <a:r>
                <a:rPr lang="de-DE" sz="1100" b="0" i="0">
                  <a:latin typeface="Cambria Math" panose="02040503050406030204" pitchFamily="18" charset="0"/>
                </a:rPr>
                <a:t>1/</a:t>
              </a:r>
              <a:r>
                <a:rPr lang="de-DE" sz="1100" b="0" i="0">
                  <a:latin typeface="Cambria Math"/>
                </a:rPr>
                <a:t>𝑙</a:t>
              </a:r>
              <a:r>
                <a:rPr lang="de-DE" sz="1100" b="0" i="0">
                  <a:latin typeface="Cambria Math" panose="02040503050406030204" pitchFamily="18" charset="0"/>
                </a:rPr>
                <a:t>_</a:t>
              </a:r>
              <a:r>
                <a:rPr lang="de-DE" sz="1100" b="0" i="0">
                  <a:latin typeface="Cambria Math"/>
                </a:rPr>
                <a:t>0</a:t>
              </a:r>
              <a:r>
                <a:rPr lang="de-DE" sz="1100" b="0" i="0">
                  <a:latin typeface="Cambria Math" panose="02040503050406030204" pitchFamily="18" charset="0"/>
                </a:rPr>
                <a:t>  (</a:t>
              </a:r>
              <a:r>
                <a:rPr lang="de-DE" sz="1100" b="0" i="0">
                  <a:solidFill>
                    <a:schemeClr val="tx1"/>
                  </a:solidFill>
                  <a:effectLst/>
                  <a:latin typeface="Cambria Math" panose="02040503050406030204" pitchFamily="18" charset="0"/>
                  <a:ea typeface="+mn-ea"/>
                  <a:cs typeface="+mn-cs"/>
                </a:rPr>
                <a:t>𝐹_𝐺∗𝑙_ℎ</a:t>
              </a:r>
              <a:r>
                <a:rPr lang="de-DE" sz="1100" b="0" i="0">
                  <a:solidFill>
                    <a:schemeClr val="tx1"/>
                  </a:solidFill>
                  <a:effectLst/>
                  <a:latin typeface="+mn-lt"/>
                  <a:ea typeface="+mn-ea"/>
                  <a:cs typeface="+mn-cs"/>
                </a:rPr>
                <a:t>+ 𝐹_𝐵∗ℎ_𝑆</a:t>
              </a:r>
              <a:r>
                <a:rPr lang="de-DE" sz="1100" b="0" i="0">
                  <a:solidFill>
                    <a:schemeClr val="tx1"/>
                  </a:solidFill>
                  <a:effectLst/>
                  <a:latin typeface="Cambria Math" panose="02040503050406030204" pitchFamily="18" charset="0"/>
                  <a:ea typeface="+mn-ea"/>
                  <a:cs typeface="+mn-cs"/>
                </a:rPr>
                <a:t>−𝐹_𝐿𝑊∗ℎ_𝐿𝑊</a:t>
              </a:r>
              <a:r>
                <a:rPr lang="de-DE" sz="1100" b="0" i="0">
                  <a:solidFill>
                    <a:schemeClr val="tx1"/>
                  </a:solidFill>
                  <a:effectLst/>
                  <a:latin typeface="+mn-lt"/>
                  <a:ea typeface="+mn-ea"/>
                  <a:cs typeface="+mn-cs"/>
                </a:rPr>
                <a:t> "</a:t>
              </a:r>
              <a:r>
                <a:rPr lang="de-DE" sz="1100" i="0">
                  <a:solidFill>
                    <a:schemeClr val="tx1"/>
                  </a:solidFill>
                  <a:effectLst/>
                  <a:latin typeface="+mn-lt"/>
                  <a:ea typeface="+mn-ea"/>
                  <a:cs typeface="+mn-cs"/>
                </a:rPr>
                <a:t>  </a:t>
              </a:r>
              <a:r>
                <a:rPr lang="de-DE" sz="1100" i="0">
                  <a:solidFill>
                    <a:schemeClr val="tx1"/>
                  </a:solidFill>
                  <a:effectLst/>
                  <a:latin typeface="Cambria Math" panose="02040503050406030204" pitchFamily="18" charset="0"/>
                  <a:ea typeface="+mn-ea"/>
                  <a:cs typeface="+mn-cs"/>
                </a:rPr>
                <a:t>" )</a:t>
              </a:r>
              <a:endParaRPr lang="de-DE" sz="1100"/>
            </a:p>
          </xdr:txBody>
        </xdr:sp>
      </mc:Fallback>
    </mc:AlternateContent>
    <xdr:clientData/>
  </xdr:oneCellAnchor>
  <xdr:oneCellAnchor>
    <xdr:from>
      <xdr:col>0</xdr:col>
      <xdr:colOff>253510</xdr:colOff>
      <xdr:row>40</xdr:row>
      <xdr:rowOff>63013</xdr:rowOff>
    </xdr:from>
    <xdr:ext cx="1532535" cy="342338"/>
    <mc:AlternateContent xmlns:mc="http://schemas.openxmlformats.org/markup-compatibility/2006" xmlns:a14="http://schemas.microsoft.com/office/drawing/2010/main">
      <mc:Choice Requires="a14">
        <xdr:sp macro="" textlink="">
          <xdr:nvSpPr>
            <xdr:cNvPr id="49" name="Textfeld 48">
              <a:extLst>
                <a:ext uri="{FF2B5EF4-FFF2-40B4-BE49-F238E27FC236}">
                  <a16:creationId xmlns:a16="http://schemas.microsoft.com/office/drawing/2014/main" id="{1EBFEEEF-3DDE-0AA8-8B62-C34F3D60FECC}"/>
                </a:ext>
              </a:extLst>
            </xdr:cNvPr>
            <xdr:cNvSpPr txBox="1"/>
          </xdr:nvSpPr>
          <xdr:spPr>
            <a:xfrm>
              <a:off x="253510" y="7770936"/>
              <a:ext cx="1532535" cy="342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𝑠</m:t>
                    </m:r>
                    <m:r>
                      <a:rPr lang="de-DE" sz="1100" b="0" i="1">
                        <a:latin typeface="Cambria Math" panose="02040503050406030204" pitchFamily="18" charset="0"/>
                      </a:rPr>
                      <m:t>=−</m:t>
                    </m:r>
                    <m:f>
                      <m:fPr>
                        <m:ctrlPr>
                          <a:rPr lang="de-DE" sz="1100" b="0" i="1">
                            <a:solidFill>
                              <a:schemeClr val="tx1"/>
                            </a:solidFill>
                            <a:effectLst/>
                            <a:latin typeface="Cambria Math" panose="02040503050406030204" pitchFamily="18" charset="0"/>
                            <a:ea typeface="+mn-ea"/>
                            <a:cs typeface="+mn-cs"/>
                          </a:rPr>
                        </m:ctrlPr>
                      </m:fPr>
                      <m:num>
                        <m:sSubSup>
                          <m:sSubSupPr>
                            <m:ctrlPr>
                              <a:rPr lang="de-DE" sz="1100" b="0" i="1">
                                <a:solidFill>
                                  <a:schemeClr val="tx1"/>
                                </a:solidFill>
                                <a:effectLst/>
                                <a:latin typeface="Cambria Math" panose="02040503050406030204" pitchFamily="18" charset="0"/>
                                <a:ea typeface="+mn-ea"/>
                                <a:cs typeface="+mn-cs"/>
                              </a:rPr>
                            </m:ctrlPr>
                          </m:sSubSup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0</m:t>
                            </m:r>
                          </m:sub>
                          <m:sup>
                            <m:r>
                              <a:rPr lang="de-DE" sz="1100" b="0" i="1">
                                <a:solidFill>
                                  <a:schemeClr val="tx1"/>
                                </a:solidFill>
                                <a:effectLst/>
                                <a:latin typeface="Cambria Math" panose="02040503050406030204" pitchFamily="18" charset="0"/>
                                <a:ea typeface="+mn-ea"/>
                                <a:cs typeface="+mn-cs"/>
                              </a:rPr>
                              <m:t>2</m:t>
                            </m:r>
                          </m:sup>
                        </m:sSubSup>
                      </m:num>
                      <m:den>
                        <m:r>
                          <a:rPr lang="de-DE" sz="1100" b="0" i="1">
                            <a:solidFill>
                              <a:schemeClr val="tx1"/>
                            </a:solidFill>
                            <a:effectLst/>
                            <a:latin typeface="Cambria Math" panose="02040503050406030204" pitchFamily="18" charset="0"/>
                            <a:ea typeface="+mn-ea"/>
                            <a:cs typeface="+mn-cs"/>
                          </a:rPr>
                          <m:t>𝑎</m:t>
                        </m:r>
                      </m:den>
                    </m:f>
                    <m:r>
                      <a:rPr lang="de-DE" sz="1100" b="0" i="1">
                        <a:solidFill>
                          <a:schemeClr val="tx1"/>
                        </a:solidFill>
                        <a:effectLst/>
                        <a:latin typeface="Cambria Math" panose="02040503050406030204" pitchFamily="18" charset="0"/>
                        <a:ea typeface="+mn-ea"/>
                        <a:cs typeface="+mn-cs"/>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r>
                      <a:rPr lang="de-DE" sz="1100" b="0" i="1">
                        <a:latin typeface="Cambria Math" panose="02040503050406030204" pitchFamily="18" charset="0"/>
                      </a:rPr>
                      <m:t>∗</m:t>
                    </m:r>
                    <m:r>
                      <a:rPr lang="de-DE" sz="1100" b="0" i="1">
                        <a:latin typeface="Cambria Math" panose="02040503050406030204" pitchFamily="18" charset="0"/>
                      </a:rPr>
                      <m:t>𝑎</m:t>
                    </m:r>
                    <m:r>
                      <a:rPr lang="de-DE" sz="1100" b="0" i="1">
                        <a:latin typeface="Cambria Math" panose="02040503050406030204" pitchFamily="18" charset="0"/>
                      </a:rPr>
                      <m:t>∗</m:t>
                    </m:r>
                    <m:sSup>
                      <m:sSupPr>
                        <m:ctrlPr>
                          <a:rPr lang="de-DE" sz="1100" b="0" i="1">
                            <a:latin typeface="Cambria Math" panose="02040503050406030204" pitchFamily="18" charset="0"/>
                          </a:rPr>
                        </m:ctrlPr>
                      </m:sSupPr>
                      <m:e>
                        <m:d>
                          <m:dPr>
                            <m:ctrlPr>
                              <a:rPr lang="de-DE" sz="1100" b="0" i="1">
                                <a:solidFill>
                                  <a:schemeClr val="tx1"/>
                                </a:solidFill>
                                <a:effectLst/>
                                <a:latin typeface="Cambria Math" panose="02040503050406030204" pitchFamily="18" charset="0"/>
                                <a:ea typeface="+mn-ea"/>
                                <a:cs typeface="+mn-cs"/>
                              </a:rPr>
                            </m:ctrlPr>
                          </m:dPr>
                          <m:e>
                            <m:f>
                              <m:fPr>
                                <m:ctrlPr>
                                  <a:rPr lang="de-DE" sz="1100" b="0" i="1">
                                    <a:solidFill>
                                      <a:schemeClr val="tx1"/>
                                    </a:solidFill>
                                    <a:effectLst/>
                                    <a:latin typeface="Cambria Math" panose="02040503050406030204" pitchFamily="18" charset="0"/>
                                    <a:ea typeface="+mn-ea"/>
                                    <a:cs typeface="+mn-cs"/>
                                  </a:rPr>
                                </m:ctrlPr>
                              </m:fPr>
                              <m:num>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0</m:t>
                                    </m:r>
                                  </m:sub>
                                </m:sSub>
                              </m:num>
                              <m:den>
                                <m:r>
                                  <a:rPr lang="de-DE" sz="1100" b="0" i="1">
                                    <a:solidFill>
                                      <a:schemeClr val="tx1"/>
                                    </a:solidFill>
                                    <a:effectLst/>
                                    <a:latin typeface="Cambria Math" panose="02040503050406030204" pitchFamily="18" charset="0"/>
                                    <a:ea typeface="+mn-ea"/>
                                    <a:cs typeface="+mn-cs"/>
                                  </a:rPr>
                                  <m:t>𝑎</m:t>
                                </m:r>
                              </m:den>
                            </m:f>
                          </m:e>
                        </m:d>
                      </m:e>
                      <m:sup>
                        <m:r>
                          <a:rPr lang="de-DE" sz="1100" b="0" i="1">
                            <a:latin typeface="Cambria Math" panose="02040503050406030204" pitchFamily="18" charset="0"/>
                          </a:rPr>
                          <m:t>2</m:t>
                        </m:r>
                      </m:sup>
                    </m:sSup>
                  </m:oMath>
                </m:oMathPara>
              </a14:m>
              <a:endParaRPr lang="de-DE" sz="1100"/>
            </a:p>
          </xdr:txBody>
        </xdr:sp>
      </mc:Choice>
      <mc:Fallback xmlns="">
        <xdr:sp macro="" textlink="">
          <xdr:nvSpPr>
            <xdr:cNvPr id="49" name="Textfeld 48">
              <a:extLst>
                <a:ext uri="{FF2B5EF4-FFF2-40B4-BE49-F238E27FC236}">
                  <a16:creationId xmlns:a16="http://schemas.microsoft.com/office/drawing/2014/main" id="{1EBFEEEF-3DDE-0AA8-8B62-C34F3D60FECC}"/>
                </a:ext>
              </a:extLst>
            </xdr:cNvPr>
            <xdr:cNvSpPr txBox="1"/>
          </xdr:nvSpPr>
          <xdr:spPr>
            <a:xfrm>
              <a:off x="253510" y="7770936"/>
              <a:ext cx="1532535" cy="342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𝑠=−</a:t>
              </a:r>
              <a:r>
                <a:rPr lang="de-DE" sz="1100" b="0" i="0">
                  <a:solidFill>
                    <a:schemeClr val="tx1"/>
                  </a:solidFill>
                  <a:effectLst/>
                  <a:latin typeface="+mn-lt"/>
                  <a:ea typeface="+mn-ea"/>
                  <a:cs typeface="+mn-cs"/>
                </a:rPr>
                <a:t>(</a:t>
              </a:r>
              <a:r>
                <a:rPr lang="de-DE" sz="1100" b="0" i="0">
                  <a:solidFill>
                    <a:schemeClr val="tx1"/>
                  </a:solidFill>
                  <a:effectLst/>
                  <a:latin typeface="Cambria Math" panose="02040503050406030204" pitchFamily="18" charset="0"/>
                  <a:ea typeface="+mn-ea"/>
                  <a:cs typeface="+mn-cs"/>
                </a:rPr>
                <a:t>𝑣_0^2</a:t>
              </a:r>
              <a:r>
                <a:rPr lang="de-DE" sz="1100" b="0" i="0">
                  <a:solidFill>
                    <a:schemeClr val="tx1"/>
                  </a:solidFill>
                  <a:effectLst/>
                  <a:latin typeface="+mn-lt"/>
                  <a:ea typeface="+mn-ea"/>
                  <a:cs typeface="+mn-cs"/>
                </a:rPr>
                <a:t>)/𝑎</a:t>
              </a:r>
              <a:r>
                <a:rPr lang="de-DE" sz="1100" b="0" i="0">
                  <a:solidFill>
                    <a:schemeClr val="tx1"/>
                  </a:solidFill>
                  <a:effectLst/>
                  <a:latin typeface="Cambria Math" panose="02040503050406030204" pitchFamily="18" charset="0"/>
                  <a:ea typeface="+mn-ea"/>
                  <a:cs typeface="+mn-cs"/>
                </a:rPr>
                <a:t>+</a:t>
              </a:r>
              <a:r>
                <a:rPr lang="de-DE" sz="1100" b="0" i="0">
                  <a:latin typeface="Cambria Math" panose="02040503050406030204" pitchFamily="18" charset="0"/>
                </a:rPr>
                <a:t>1/2∗𝑎∗</a:t>
              </a:r>
              <a:r>
                <a:rPr lang="de-DE" sz="1100" b="0" i="0">
                  <a:solidFill>
                    <a:schemeClr val="tx1"/>
                  </a:solidFill>
                  <a:effectLst/>
                  <a:latin typeface="+mn-lt"/>
                  <a:ea typeface="+mn-ea"/>
                  <a:cs typeface="+mn-cs"/>
                </a:rPr>
                <a:t>(𝑣_0/𝑎)</a:t>
              </a:r>
              <a:r>
                <a:rPr lang="de-DE" sz="1100" b="0" i="0">
                  <a:solidFill>
                    <a:schemeClr val="tx1"/>
                  </a:solidFill>
                  <a:effectLst/>
                  <a:latin typeface="Cambria Math" panose="02040503050406030204" pitchFamily="18" charset="0"/>
                  <a:ea typeface="+mn-ea"/>
                  <a:cs typeface="+mn-cs"/>
                </a:rPr>
                <a:t>^</a:t>
              </a:r>
              <a:r>
                <a:rPr lang="de-DE" sz="1100" b="0" i="0">
                  <a:latin typeface="Cambria Math" panose="02040503050406030204" pitchFamily="18" charset="0"/>
                </a:rPr>
                <a:t>2</a:t>
              </a:r>
              <a:endParaRPr lang="de-DE" sz="1100"/>
            </a:p>
          </xdr:txBody>
        </xdr:sp>
      </mc:Fallback>
    </mc:AlternateContent>
    <xdr:clientData/>
  </xdr:oneCellAnchor>
  <xdr:oneCellAnchor>
    <xdr:from>
      <xdr:col>0</xdr:col>
      <xdr:colOff>202223</xdr:colOff>
      <xdr:row>36</xdr:row>
      <xdr:rowOff>84991</xdr:rowOff>
    </xdr:from>
    <xdr:ext cx="1053622" cy="172227"/>
    <mc:AlternateContent xmlns:mc="http://schemas.openxmlformats.org/markup-compatibility/2006" xmlns:a14="http://schemas.microsoft.com/office/drawing/2010/main">
      <mc:Choice Requires="a14">
        <xdr:sp macro="" textlink="">
          <xdr:nvSpPr>
            <xdr:cNvPr id="51" name="Textfeld 50">
              <a:extLst>
                <a:ext uri="{FF2B5EF4-FFF2-40B4-BE49-F238E27FC236}">
                  <a16:creationId xmlns:a16="http://schemas.microsoft.com/office/drawing/2014/main" id="{37BA96A9-E97E-E361-5B3C-C7F5E2FCA461}"/>
                </a:ext>
              </a:extLst>
            </xdr:cNvPr>
            <xdr:cNvSpPr txBox="1"/>
          </xdr:nvSpPr>
          <xdr:spPr>
            <a:xfrm>
              <a:off x="202223" y="7030914"/>
              <a:ext cx="10536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𝑣</m:t>
                    </m:r>
                    <m:r>
                      <a:rPr lang="de-DE" sz="1100" b="0" i="1">
                        <a:latin typeface="Cambria Math" panose="02040503050406030204" pitchFamily="18" charset="0"/>
                      </a:rPr>
                      <m:t>(</m:t>
                    </m:r>
                    <m:r>
                      <a:rPr lang="de-DE" sz="1100" b="0" i="1">
                        <a:latin typeface="Cambria Math" panose="02040503050406030204" pitchFamily="18" charset="0"/>
                      </a:rPr>
                      <m:t>𝑡</m:t>
                    </m:r>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0</m:t>
                        </m:r>
                      </m:sub>
                    </m:sSub>
                    <m:r>
                      <a:rPr lang="de-DE" sz="1100" b="0" i="1">
                        <a:latin typeface="Cambria Math" panose="02040503050406030204" pitchFamily="18" charset="0"/>
                      </a:rPr>
                      <m:t>+</m:t>
                    </m:r>
                    <m:r>
                      <a:rPr lang="de-DE" sz="1100" b="0" i="1">
                        <a:latin typeface="Cambria Math" panose="02040503050406030204" pitchFamily="18" charset="0"/>
                      </a:rPr>
                      <m:t>𝑎</m:t>
                    </m:r>
                    <m:r>
                      <a:rPr lang="de-DE" sz="1100" b="0" i="1">
                        <a:latin typeface="Cambria Math" panose="02040503050406030204" pitchFamily="18" charset="0"/>
                      </a:rPr>
                      <m:t>∗</m:t>
                    </m:r>
                    <m:r>
                      <a:rPr lang="de-DE" sz="1100" b="0" i="1">
                        <a:latin typeface="Cambria Math" panose="02040503050406030204" pitchFamily="18" charset="0"/>
                      </a:rPr>
                      <m:t>𝑡</m:t>
                    </m:r>
                  </m:oMath>
                </m:oMathPara>
              </a14:m>
              <a:endParaRPr lang="de-DE" sz="1100"/>
            </a:p>
          </xdr:txBody>
        </xdr:sp>
      </mc:Choice>
      <mc:Fallback xmlns="">
        <xdr:sp macro="" textlink="">
          <xdr:nvSpPr>
            <xdr:cNvPr id="51" name="Textfeld 50">
              <a:extLst>
                <a:ext uri="{FF2B5EF4-FFF2-40B4-BE49-F238E27FC236}">
                  <a16:creationId xmlns:a16="http://schemas.microsoft.com/office/drawing/2014/main" id="{37BA96A9-E97E-E361-5B3C-C7F5E2FCA461}"/>
                </a:ext>
              </a:extLst>
            </xdr:cNvPr>
            <xdr:cNvSpPr txBox="1"/>
          </xdr:nvSpPr>
          <xdr:spPr>
            <a:xfrm>
              <a:off x="202223" y="7030914"/>
              <a:ext cx="10536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𝑣(𝑡)=𝑣_0+𝑎∗𝑡</a:t>
              </a:r>
              <a:endParaRPr lang="de-DE" sz="1100"/>
            </a:p>
          </xdr:txBody>
        </xdr:sp>
      </mc:Fallback>
    </mc:AlternateContent>
    <xdr:clientData/>
  </xdr:oneCellAnchor>
  <xdr:oneCellAnchor>
    <xdr:from>
      <xdr:col>2</xdr:col>
      <xdr:colOff>46892</xdr:colOff>
      <xdr:row>36</xdr:row>
      <xdr:rowOff>10258</xdr:rowOff>
    </xdr:from>
    <xdr:ext cx="2484526" cy="328488"/>
    <mc:AlternateContent xmlns:mc="http://schemas.openxmlformats.org/markup-compatibility/2006" xmlns:a14="http://schemas.microsoft.com/office/drawing/2010/main">
      <mc:Choice Requires="a14">
        <xdr:sp macro="" textlink="">
          <xdr:nvSpPr>
            <xdr:cNvPr id="53" name="Textfeld 52">
              <a:extLst>
                <a:ext uri="{FF2B5EF4-FFF2-40B4-BE49-F238E27FC236}">
                  <a16:creationId xmlns:a16="http://schemas.microsoft.com/office/drawing/2014/main" id="{79F093DF-EC15-45FC-A809-6A6090B47812}"/>
                </a:ext>
              </a:extLst>
            </xdr:cNvPr>
            <xdr:cNvSpPr txBox="1"/>
          </xdr:nvSpPr>
          <xdr:spPr>
            <a:xfrm>
              <a:off x="1570892" y="6956181"/>
              <a:ext cx="2484526" cy="3284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𝑡</m:t>
                    </m:r>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𝑣</m:t>
                        </m:r>
                        <m:d>
                          <m:dPr>
                            <m:ctrlPr>
                              <a:rPr lang="de-DE" sz="1100" b="0" i="1">
                                <a:latin typeface="Cambria Math" panose="02040503050406030204" pitchFamily="18" charset="0"/>
                              </a:rPr>
                            </m:ctrlPr>
                          </m:dPr>
                          <m:e>
                            <m:r>
                              <a:rPr lang="de-DE" sz="1100" b="0" i="1">
                                <a:latin typeface="Cambria Math" panose="02040503050406030204" pitchFamily="18" charset="0"/>
                              </a:rPr>
                              <m:t>𝑡</m:t>
                            </m:r>
                          </m:e>
                        </m:d>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0</m:t>
                            </m:r>
                          </m:sub>
                        </m:sSub>
                      </m:num>
                      <m:den>
                        <m:r>
                          <a:rPr lang="de-DE" sz="1100" b="0" i="1">
                            <a:latin typeface="Cambria Math" panose="02040503050406030204" pitchFamily="18" charset="0"/>
                          </a:rPr>
                          <m:t>𝑎</m:t>
                        </m:r>
                      </m:den>
                    </m:f>
                    <m:r>
                      <a:rPr lang="de-DE" sz="1100" b="0" i="1">
                        <a:latin typeface="Cambria Math" panose="02040503050406030204" pitchFamily="18" charset="0"/>
                      </a:rPr>
                      <m:t> </m:t>
                    </m:r>
                    <m:r>
                      <a:rPr lang="de-DE" sz="1100" b="0" i="1">
                        <a:latin typeface="Cambria Math" panose="02040503050406030204" pitchFamily="18" charset="0"/>
                      </a:rPr>
                      <m:t>𝑚𝑖𝑡</m:t>
                    </m:r>
                    <m:r>
                      <a:rPr lang="de-DE" sz="1100" b="0" i="1">
                        <a:latin typeface="Cambria Math" panose="02040503050406030204" pitchFamily="18" charset="0"/>
                      </a:rPr>
                      <m:t> </m:t>
                    </m:r>
                    <m:r>
                      <a:rPr lang="de-DE" sz="1100" b="0" i="1">
                        <a:latin typeface="Cambria Math" panose="02040503050406030204" pitchFamily="18" charset="0"/>
                      </a:rPr>
                      <m:t>𝑣</m:t>
                    </m:r>
                    <m:d>
                      <m:dPr>
                        <m:ctrlPr>
                          <a:rPr lang="de-DE" sz="1100" b="0" i="1">
                            <a:latin typeface="Cambria Math" panose="02040503050406030204" pitchFamily="18" charset="0"/>
                          </a:rPr>
                        </m:ctrlPr>
                      </m:dPr>
                      <m:e>
                        <m:r>
                          <a:rPr lang="de-DE" sz="1100" b="0" i="1">
                            <a:latin typeface="Cambria Math" panose="02040503050406030204" pitchFamily="18" charset="0"/>
                          </a:rPr>
                          <m:t>𝑡</m:t>
                        </m:r>
                      </m:e>
                    </m:d>
                    <m:r>
                      <a:rPr lang="de-DE" sz="1100" b="0" i="1">
                        <a:latin typeface="Cambria Math" panose="02040503050406030204" pitchFamily="18" charset="0"/>
                      </a:rPr>
                      <m:t>=0 →</m:t>
                    </m:r>
                    <m:r>
                      <a:rPr lang="de-DE" sz="1100" b="0" i="1">
                        <a:latin typeface="Cambria Math" panose="02040503050406030204" pitchFamily="18" charset="0"/>
                      </a:rPr>
                      <m:t>𝑡</m:t>
                    </m:r>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0</m:t>
                            </m:r>
                          </m:sub>
                        </m:sSub>
                      </m:num>
                      <m:den>
                        <m:r>
                          <a:rPr lang="de-DE" sz="1100" b="0" i="1">
                            <a:latin typeface="Cambria Math" panose="02040503050406030204" pitchFamily="18" charset="0"/>
                          </a:rPr>
                          <m:t>𝑎</m:t>
                        </m:r>
                      </m:den>
                    </m:f>
                  </m:oMath>
                </m:oMathPara>
              </a14:m>
              <a:endParaRPr lang="de-DE" sz="1100"/>
            </a:p>
          </xdr:txBody>
        </xdr:sp>
      </mc:Choice>
      <mc:Fallback xmlns="">
        <xdr:sp macro="" textlink="">
          <xdr:nvSpPr>
            <xdr:cNvPr id="53" name="Textfeld 52">
              <a:extLst>
                <a:ext uri="{FF2B5EF4-FFF2-40B4-BE49-F238E27FC236}">
                  <a16:creationId xmlns:a16="http://schemas.microsoft.com/office/drawing/2014/main" id="{79F093DF-EC15-45FC-A809-6A6090B47812}"/>
                </a:ext>
              </a:extLst>
            </xdr:cNvPr>
            <xdr:cNvSpPr txBox="1"/>
          </xdr:nvSpPr>
          <xdr:spPr>
            <a:xfrm>
              <a:off x="1570892" y="6956181"/>
              <a:ext cx="2484526" cy="3284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𝑡=(𝑣(𝑡)−𝑣_0)/𝑎  𝑚𝑖𝑡 𝑣(𝑡)=0 →𝑡=−𝑣_0/𝑎</a:t>
              </a:r>
              <a:endParaRPr lang="de-DE" sz="1100"/>
            </a:p>
          </xdr:txBody>
        </xdr:sp>
      </mc:Fallback>
    </mc:AlternateContent>
    <xdr:clientData/>
  </xdr:oneCellAnchor>
  <xdr:oneCellAnchor>
    <xdr:from>
      <xdr:col>2</xdr:col>
      <xdr:colOff>492368</xdr:colOff>
      <xdr:row>40</xdr:row>
      <xdr:rowOff>67409</xdr:rowOff>
    </xdr:from>
    <xdr:ext cx="1118832" cy="348813"/>
    <mc:AlternateContent xmlns:mc="http://schemas.openxmlformats.org/markup-compatibility/2006" xmlns:a14="http://schemas.microsoft.com/office/drawing/2010/main">
      <mc:Choice Requires="a14">
        <xdr:sp macro="" textlink="">
          <xdr:nvSpPr>
            <xdr:cNvPr id="57" name="Textfeld 56">
              <a:extLst>
                <a:ext uri="{FF2B5EF4-FFF2-40B4-BE49-F238E27FC236}">
                  <a16:creationId xmlns:a16="http://schemas.microsoft.com/office/drawing/2014/main" id="{C9B482C4-78BF-4DEC-9D39-4ED3957075F3}"/>
                </a:ext>
              </a:extLst>
            </xdr:cNvPr>
            <xdr:cNvSpPr txBox="1"/>
          </xdr:nvSpPr>
          <xdr:spPr>
            <a:xfrm>
              <a:off x="2016368" y="7775332"/>
              <a:ext cx="1118832" cy="348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𝑠</m:t>
                    </m:r>
                    <m:r>
                      <a:rPr lang="de-DE" sz="1100" b="0" i="1">
                        <a:latin typeface="Cambria Math" panose="02040503050406030204" pitchFamily="18" charset="0"/>
                      </a:rPr>
                      <m:t>=−</m:t>
                    </m:r>
                    <m:f>
                      <m:fPr>
                        <m:ctrlPr>
                          <a:rPr lang="de-DE" sz="1100" b="0" i="1">
                            <a:solidFill>
                              <a:schemeClr val="tx1"/>
                            </a:solidFill>
                            <a:effectLst/>
                            <a:latin typeface="Cambria Math" panose="02040503050406030204" pitchFamily="18" charset="0"/>
                            <a:ea typeface="+mn-ea"/>
                            <a:cs typeface="+mn-cs"/>
                          </a:rPr>
                        </m:ctrlPr>
                      </m:fPr>
                      <m:num>
                        <m:sSubSup>
                          <m:sSubSupPr>
                            <m:ctrlPr>
                              <a:rPr lang="de-DE" sz="1100" b="0" i="1">
                                <a:solidFill>
                                  <a:schemeClr val="tx1"/>
                                </a:solidFill>
                                <a:effectLst/>
                                <a:latin typeface="Cambria Math" panose="02040503050406030204" pitchFamily="18" charset="0"/>
                                <a:ea typeface="+mn-ea"/>
                                <a:cs typeface="+mn-cs"/>
                              </a:rPr>
                            </m:ctrlPr>
                          </m:sSubSup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0</m:t>
                            </m:r>
                          </m:sub>
                          <m:sup>
                            <m:r>
                              <a:rPr lang="de-DE" sz="1100" b="0" i="1">
                                <a:solidFill>
                                  <a:schemeClr val="tx1"/>
                                </a:solidFill>
                                <a:effectLst/>
                                <a:latin typeface="Cambria Math" panose="02040503050406030204" pitchFamily="18" charset="0"/>
                                <a:ea typeface="+mn-ea"/>
                                <a:cs typeface="+mn-cs"/>
                              </a:rPr>
                              <m:t>2</m:t>
                            </m:r>
                          </m:sup>
                        </m:sSubSup>
                      </m:num>
                      <m:den>
                        <m:r>
                          <a:rPr lang="de-DE" sz="1100" b="0" i="1">
                            <a:solidFill>
                              <a:schemeClr val="tx1"/>
                            </a:solidFill>
                            <a:effectLst/>
                            <a:latin typeface="Cambria Math" panose="02040503050406030204" pitchFamily="18" charset="0"/>
                            <a:ea typeface="+mn-ea"/>
                            <a:cs typeface="+mn-cs"/>
                          </a:rPr>
                          <m:t>𝑎</m:t>
                        </m:r>
                      </m:den>
                    </m:f>
                    <m:r>
                      <a:rPr lang="de-DE" sz="1100" b="0" i="1">
                        <a:solidFill>
                          <a:schemeClr val="tx1"/>
                        </a:solidFill>
                        <a:effectLst/>
                        <a:latin typeface="Cambria Math" panose="02040503050406030204" pitchFamily="18" charset="0"/>
                        <a:ea typeface="+mn-ea"/>
                        <a:cs typeface="+mn-cs"/>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r>
                      <a:rPr lang="de-DE" sz="1100" b="0" i="1">
                        <a:latin typeface="Cambria Math" panose="02040503050406030204" pitchFamily="18" charset="0"/>
                      </a:rPr>
                      <m:t>∗ </m:t>
                    </m:r>
                    <m:f>
                      <m:fPr>
                        <m:ctrlPr>
                          <a:rPr lang="de-DE" sz="1100" b="0" i="1">
                            <a:latin typeface="Cambria Math" panose="02040503050406030204" pitchFamily="18" charset="0"/>
                          </a:rPr>
                        </m:ctrlPr>
                      </m:fPr>
                      <m:num>
                        <m:sSubSup>
                          <m:sSubSupPr>
                            <m:ctrlPr>
                              <a:rPr lang="de-DE" sz="1100" b="0" i="1">
                                <a:solidFill>
                                  <a:schemeClr val="tx1"/>
                                </a:solidFill>
                                <a:effectLst/>
                                <a:latin typeface="Cambria Math" panose="02040503050406030204" pitchFamily="18" charset="0"/>
                                <a:ea typeface="+mn-ea"/>
                                <a:cs typeface="+mn-cs"/>
                              </a:rPr>
                            </m:ctrlPr>
                          </m:sSubSup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0</m:t>
                            </m:r>
                          </m:sub>
                          <m:sup>
                            <m:r>
                              <a:rPr lang="de-DE" sz="1100" b="0" i="1">
                                <a:solidFill>
                                  <a:schemeClr val="tx1"/>
                                </a:solidFill>
                                <a:effectLst/>
                                <a:latin typeface="Cambria Math" panose="02040503050406030204" pitchFamily="18" charset="0"/>
                                <a:ea typeface="+mn-ea"/>
                                <a:cs typeface="+mn-cs"/>
                              </a:rPr>
                              <m:t>2</m:t>
                            </m:r>
                          </m:sup>
                        </m:sSubSup>
                      </m:num>
                      <m:den>
                        <m:r>
                          <a:rPr lang="de-DE" sz="1100" b="0" i="1">
                            <a:latin typeface="Cambria Math" panose="02040503050406030204" pitchFamily="18" charset="0"/>
                          </a:rPr>
                          <m:t>𝑎</m:t>
                        </m:r>
                      </m:den>
                    </m:f>
                  </m:oMath>
                </m:oMathPara>
              </a14:m>
              <a:endParaRPr lang="de-DE" sz="1100"/>
            </a:p>
          </xdr:txBody>
        </xdr:sp>
      </mc:Choice>
      <mc:Fallback xmlns="">
        <xdr:sp macro="" textlink="">
          <xdr:nvSpPr>
            <xdr:cNvPr id="57" name="Textfeld 56">
              <a:extLst>
                <a:ext uri="{FF2B5EF4-FFF2-40B4-BE49-F238E27FC236}">
                  <a16:creationId xmlns:a16="http://schemas.microsoft.com/office/drawing/2014/main" id="{C9B482C4-78BF-4DEC-9D39-4ED3957075F3}"/>
                </a:ext>
              </a:extLst>
            </xdr:cNvPr>
            <xdr:cNvSpPr txBox="1"/>
          </xdr:nvSpPr>
          <xdr:spPr>
            <a:xfrm>
              <a:off x="2016368" y="7775332"/>
              <a:ext cx="1118832" cy="348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𝑠=</a:t>
              </a:r>
              <a:r>
                <a:rPr lang="de-DE" sz="1100" b="0" i="0">
                  <a:solidFill>
                    <a:schemeClr val="tx1"/>
                  </a:solidFill>
                  <a:effectLst/>
                  <a:latin typeface="+mn-lt"/>
                  <a:ea typeface="+mn-ea"/>
                  <a:cs typeface="+mn-cs"/>
                </a:rPr>
                <a:t>−(𝑣_0^2)/𝑎+</a:t>
              </a:r>
              <a:r>
                <a:rPr lang="de-DE" sz="1100" b="0" i="0">
                  <a:latin typeface="Cambria Math" panose="02040503050406030204" pitchFamily="18" charset="0"/>
                </a:rPr>
                <a:t>1/2∗ </a:t>
              </a:r>
              <a:r>
                <a:rPr lang="de-DE" sz="1100" b="0" i="0">
                  <a:solidFill>
                    <a:schemeClr val="tx1"/>
                  </a:solidFill>
                  <a:effectLst/>
                  <a:latin typeface="+mn-lt"/>
                  <a:ea typeface="+mn-ea"/>
                  <a:cs typeface="+mn-cs"/>
                </a:rPr>
                <a:t> </a:t>
              </a:r>
              <a:r>
                <a:rPr lang="de-DE" sz="1100" b="0" i="0">
                  <a:solidFill>
                    <a:schemeClr val="tx1"/>
                  </a:solidFill>
                  <a:effectLst/>
                  <a:latin typeface="Cambria Math" panose="02040503050406030204" pitchFamily="18" charset="0"/>
                  <a:ea typeface="+mn-ea"/>
                  <a:cs typeface="+mn-cs"/>
                </a:rPr>
                <a:t>(</a:t>
              </a:r>
              <a:r>
                <a:rPr lang="de-DE" sz="1100" b="0" i="0">
                  <a:solidFill>
                    <a:schemeClr val="tx1"/>
                  </a:solidFill>
                  <a:effectLst/>
                  <a:latin typeface="+mn-lt"/>
                  <a:ea typeface="+mn-ea"/>
                  <a:cs typeface="+mn-cs"/>
                </a:rPr>
                <a:t>𝑣_0^2</a:t>
              </a:r>
              <a:r>
                <a:rPr lang="de-DE" sz="1100" b="0" i="0">
                  <a:solidFill>
                    <a:schemeClr val="tx1"/>
                  </a:solidFill>
                  <a:effectLst/>
                  <a:latin typeface="Cambria Math" panose="02040503050406030204" pitchFamily="18" charset="0"/>
                  <a:ea typeface="+mn-ea"/>
                  <a:cs typeface="+mn-cs"/>
                </a:rPr>
                <a:t>)/</a:t>
              </a:r>
              <a:r>
                <a:rPr lang="de-DE" sz="1100" b="0" i="0">
                  <a:latin typeface="Cambria Math" panose="02040503050406030204" pitchFamily="18" charset="0"/>
                </a:rPr>
                <a:t>𝑎</a:t>
              </a:r>
              <a:endParaRPr lang="de-DE" sz="1100"/>
            </a:p>
          </xdr:txBody>
        </xdr:sp>
      </mc:Fallback>
    </mc:AlternateContent>
    <xdr:clientData/>
  </xdr:oneCellAnchor>
  <xdr:oneCellAnchor>
    <xdr:from>
      <xdr:col>5</xdr:col>
      <xdr:colOff>619858</xdr:colOff>
      <xdr:row>40</xdr:row>
      <xdr:rowOff>55684</xdr:rowOff>
    </xdr:from>
    <xdr:ext cx="783356" cy="348878"/>
    <mc:AlternateContent xmlns:mc="http://schemas.openxmlformats.org/markup-compatibility/2006" xmlns:a14="http://schemas.microsoft.com/office/drawing/2010/main">
      <mc:Choice Requires="a14">
        <xdr:sp macro="" textlink="">
          <xdr:nvSpPr>
            <xdr:cNvPr id="58" name="Textfeld 57">
              <a:extLst>
                <a:ext uri="{FF2B5EF4-FFF2-40B4-BE49-F238E27FC236}">
                  <a16:creationId xmlns:a16="http://schemas.microsoft.com/office/drawing/2014/main" id="{E094CCF1-1A55-BDAA-0BDA-C279051EA1EB}"/>
                </a:ext>
              </a:extLst>
            </xdr:cNvPr>
            <xdr:cNvSpPr txBox="1"/>
          </xdr:nvSpPr>
          <xdr:spPr>
            <a:xfrm>
              <a:off x="4429858" y="7763607"/>
              <a:ext cx="783356" cy="348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𝑎</m:t>
                    </m:r>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r>
                      <a:rPr lang="de-DE" sz="1100" b="0" i="1">
                        <a:latin typeface="Cambria Math" panose="02040503050406030204" pitchFamily="18" charset="0"/>
                      </a:rPr>
                      <m:t>∗</m:t>
                    </m:r>
                    <m:f>
                      <m:fPr>
                        <m:ctrlPr>
                          <a:rPr lang="de-DE" sz="1100" b="0" i="1">
                            <a:latin typeface="Cambria Math" panose="02040503050406030204" pitchFamily="18" charset="0"/>
                          </a:rPr>
                        </m:ctrlPr>
                      </m:fPr>
                      <m:num>
                        <m:sSubSup>
                          <m:sSubSupPr>
                            <m:ctrlPr>
                              <a:rPr lang="de-DE" sz="1100" b="0" i="1">
                                <a:solidFill>
                                  <a:schemeClr val="tx1"/>
                                </a:solidFill>
                                <a:effectLst/>
                                <a:latin typeface="Cambria Math" panose="02040503050406030204" pitchFamily="18" charset="0"/>
                                <a:ea typeface="+mn-ea"/>
                                <a:cs typeface="+mn-cs"/>
                              </a:rPr>
                            </m:ctrlPr>
                          </m:sSubSup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0</m:t>
                            </m:r>
                          </m:sub>
                          <m:sup>
                            <m:r>
                              <a:rPr lang="de-DE" sz="1100" b="0" i="1">
                                <a:solidFill>
                                  <a:schemeClr val="tx1"/>
                                </a:solidFill>
                                <a:effectLst/>
                                <a:latin typeface="Cambria Math" panose="02040503050406030204" pitchFamily="18" charset="0"/>
                                <a:ea typeface="+mn-ea"/>
                                <a:cs typeface="+mn-cs"/>
                              </a:rPr>
                              <m:t>2</m:t>
                            </m:r>
                          </m:sup>
                        </m:sSubSup>
                      </m:num>
                      <m:den>
                        <m:r>
                          <a:rPr lang="de-DE" sz="1100" b="0" i="1">
                            <a:latin typeface="Cambria Math" panose="02040503050406030204" pitchFamily="18" charset="0"/>
                          </a:rPr>
                          <m:t>𝑠</m:t>
                        </m:r>
                      </m:den>
                    </m:f>
                  </m:oMath>
                </m:oMathPara>
              </a14:m>
              <a:endParaRPr lang="de-DE" sz="1100"/>
            </a:p>
          </xdr:txBody>
        </xdr:sp>
      </mc:Choice>
      <mc:Fallback xmlns="">
        <xdr:sp macro="" textlink="">
          <xdr:nvSpPr>
            <xdr:cNvPr id="58" name="Textfeld 57">
              <a:extLst>
                <a:ext uri="{FF2B5EF4-FFF2-40B4-BE49-F238E27FC236}">
                  <a16:creationId xmlns:a16="http://schemas.microsoft.com/office/drawing/2014/main" id="{E094CCF1-1A55-BDAA-0BDA-C279051EA1EB}"/>
                </a:ext>
              </a:extLst>
            </xdr:cNvPr>
            <xdr:cNvSpPr txBox="1"/>
          </xdr:nvSpPr>
          <xdr:spPr>
            <a:xfrm>
              <a:off x="4429858" y="7763607"/>
              <a:ext cx="783356" cy="348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𝑎=−1/2∗(</a:t>
              </a:r>
              <a:r>
                <a:rPr lang="de-DE" sz="1100" b="0" i="0">
                  <a:solidFill>
                    <a:schemeClr val="tx1"/>
                  </a:solidFill>
                  <a:effectLst/>
                  <a:latin typeface="+mn-lt"/>
                  <a:ea typeface="+mn-ea"/>
                  <a:cs typeface="+mn-cs"/>
                </a:rPr>
                <a:t>𝑣_0^2</a:t>
              </a:r>
              <a:r>
                <a:rPr lang="de-DE" sz="1100" b="0" i="0">
                  <a:solidFill>
                    <a:schemeClr val="tx1"/>
                  </a:solidFill>
                  <a:effectLst/>
                  <a:latin typeface="Cambria Math" panose="02040503050406030204" pitchFamily="18" charset="0"/>
                  <a:ea typeface="+mn-ea"/>
                  <a:cs typeface="+mn-cs"/>
                </a:rPr>
                <a:t>)/</a:t>
              </a:r>
              <a:r>
                <a:rPr lang="de-DE" sz="1100" b="0" i="0">
                  <a:latin typeface="Cambria Math" panose="02040503050406030204" pitchFamily="18" charset="0"/>
                </a:rPr>
                <a:t>𝑠</a:t>
              </a:r>
              <a:endParaRPr lang="de-DE" sz="1100"/>
            </a:p>
          </xdr:txBody>
        </xdr:sp>
      </mc:Fallback>
    </mc:AlternateContent>
    <xdr:clientData/>
  </xdr:oneCellAnchor>
  <xdr:twoCellAnchor>
    <xdr:from>
      <xdr:col>1</xdr:col>
      <xdr:colOff>493845</xdr:colOff>
      <xdr:row>36</xdr:row>
      <xdr:rowOff>171105</xdr:rowOff>
    </xdr:from>
    <xdr:to>
      <xdr:col>2</xdr:col>
      <xdr:colOff>46892</xdr:colOff>
      <xdr:row>36</xdr:row>
      <xdr:rowOff>174502</xdr:rowOff>
    </xdr:to>
    <xdr:cxnSp macro="">
      <xdr:nvCxnSpPr>
        <xdr:cNvPr id="60" name="Gerade Verbindung mit Pfeil 59">
          <a:extLst>
            <a:ext uri="{FF2B5EF4-FFF2-40B4-BE49-F238E27FC236}">
              <a16:creationId xmlns:a16="http://schemas.microsoft.com/office/drawing/2014/main" id="{9C10384D-55B6-B2BB-8783-5877664D29A4}"/>
            </a:ext>
          </a:extLst>
        </xdr:cNvPr>
        <xdr:cNvCxnSpPr>
          <a:stCxn id="51" idx="3"/>
          <a:endCxn id="53" idx="1"/>
        </xdr:cNvCxnSpPr>
      </xdr:nvCxnSpPr>
      <xdr:spPr>
        <a:xfrm>
          <a:off x="1255845" y="7117028"/>
          <a:ext cx="315047" cy="33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70337</xdr:colOff>
      <xdr:row>45</xdr:row>
      <xdr:rowOff>4396</xdr:rowOff>
    </xdr:from>
    <xdr:ext cx="698333" cy="172227"/>
    <mc:AlternateContent xmlns:mc="http://schemas.openxmlformats.org/markup-compatibility/2006" xmlns:a14="http://schemas.microsoft.com/office/drawing/2010/main">
      <mc:Choice Requires="a14">
        <xdr:sp macro="" textlink="">
          <xdr:nvSpPr>
            <xdr:cNvPr id="72" name="Textfeld 71">
              <a:extLst>
                <a:ext uri="{FF2B5EF4-FFF2-40B4-BE49-F238E27FC236}">
                  <a16:creationId xmlns:a16="http://schemas.microsoft.com/office/drawing/2014/main" id="{8980E0F9-EF96-9AFF-9E2B-DD521F62E2C3}"/>
                </a:ext>
              </a:extLst>
            </xdr:cNvPr>
            <xdr:cNvSpPr txBox="1"/>
          </xdr:nvSpPr>
          <xdr:spPr>
            <a:xfrm>
              <a:off x="4737587" y="12298973"/>
              <a:ext cx="6983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𝐹</m:t>
                        </m:r>
                      </m:e>
                      <m:sub>
                        <m:r>
                          <a:rPr lang="de-DE" sz="1100" b="0" i="1">
                            <a:latin typeface="Cambria Math" panose="02040503050406030204" pitchFamily="18" charset="0"/>
                          </a:rPr>
                          <m:t>𝐵</m:t>
                        </m:r>
                      </m:sub>
                    </m:sSub>
                    <m:r>
                      <a:rPr lang="de-DE" sz="1100" b="0" i="1">
                        <a:latin typeface="Cambria Math" panose="02040503050406030204" pitchFamily="18" charset="0"/>
                      </a:rPr>
                      <m:t>=</m:t>
                    </m:r>
                    <m:r>
                      <a:rPr lang="de-DE" sz="1100" b="0" i="1">
                        <a:latin typeface="Cambria Math" panose="02040503050406030204" pitchFamily="18" charset="0"/>
                      </a:rPr>
                      <m:t>𝑚</m:t>
                    </m:r>
                    <m:r>
                      <a:rPr lang="de-DE" sz="1100" b="0" i="1">
                        <a:latin typeface="Cambria Math" panose="02040503050406030204" pitchFamily="18" charset="0"/>
                      </a:rPr>
                      <m:t>∗</m:t>
                    </m:r>
                    <m:r>
                      <a:rPr lang="de-DE" sz="1100" b="0" i="1">
                        <a:latin typeface="Cambria Math" panose="02040503050406030204" pitchFamily="18" charset="0"/>
                      </a:rPr>
                      <m:t>𝑎</m:t>
                    </m:r>
                  </m:oMath>
                </m:oMathPara>
              </a14:m>
              <a:endParaRPr lang="de-DE" sz="1100"/>
            </a:p>
          </xdr:txBody>
        </xdr:sp>
      </mc:Choice>
      <mc:Fallback xmlns="">
        <xdr:sp macro="" textlink="">
          <xdr:nvSpPr>
            <xdr:cNvPr id="72" name="Textfeld 71">
              <a:extLst>
                <a:ext uri="{FF2B5EF4-FFF2-40B4-BE49-F238E27FC236}">
                  <a16:creationId xmlns:a16="http://schemas.microsoft.com/office/drawing/2014/main" id="{8980E0F9-EF96-9AFF-9E2B-DD521F62E2C3}"/>
                </a:ext>
              </a:extLst>
            </xdr:cNvPr>
            <xdr:cNvSpPr txBox="1"/>
          </xdr:nvSpPr>
          <xdr:spPr>
            <a:xfrm>
              <a:off x="4737587" y="12298973"/>
              <a:ext cx="6983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𝐹_𝐵=𝑚∗𝑎</a:t>
              </a:r>
              <a:endParaRPr lang="de-DE" sz="1100"/>
            </a:p>
          </xdr:txBody>
        </xdr:sp>
      </mc:Fallback>
    </mc:AlternateContent>
    <xdr:clientData/>
  </xdr:oneCellAnchor>
  <xdr:oneCellAnchor>
    <xdr:from>
      <xdr:col>0</xdr:col>
      <xdr:colOff>164123</xdr:colOff>
      <xdr:row>37</xdr:row>
      <xdr:rowOff>186106</xdr:rowOff>
    </xdr:from>
    <xdr:ext cx="3976025" cy="316882"/>
    <mc:AlternateContent xmlns:mc="http://schemas.openxmlformats.org/markup-compatibility/2006" xmlns:a14="http://schemas.microsoft.com/office/drawing/2010/main">
      <mc:Choice Requires="a14">
        <xdr:sp macro="" textlink="">
          <xdr:nvSpPr>
            <xdr:cNvPr id="36" name="Textfeld 35">
              <a:extLst>
                <a:ext uri="{FF2B5EF4-FFF2-40B4-BE49-F238E27FC236}">
                  <a16:creationId xmlns:a16="http://schemas.microsoft.com/office/drawing/2014/main" id="{C9315F60-B697-4405-B13A-AE14D6FA969E}"/>
                </a:ext>
              </a:extLst>
            </xdr:cNvPr>
            <xdr:cNvSpPr txBox="1"/>
          </xdr:nvSpPr>
          <xdr:spPr>
            <a:xfrm>
              <a:off x="164123" y="7322529"/>
              <a:ext cx="3976025"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𝑠</m:t>
                    </m:r>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𝑠</m:t>
                        </m:r>
                      </m:e>
                      <m:sub>
                        <m:r>
                          <a:rPr lang="de-DE" sz="1100" b="0" i="1">
                            <a:latin typeface="Cambria Math" panose="02040503050406030204" pitchFamily="18" charset="0"/>
                          </a:rPr>
                          <m:t>0</m:t>
                        </m:r>
                      </m:sub>
                    </m:sSub>
                    <m:r>
                      <a:rPr lang="de-DE" sz="1100" b="0" i="1">
                        <a:latin typeface="Cambria Math" panose="02040503050406030204" pitchFamily="18" charset="0"/>
                      </a:rPr>
                      <m:t>+</m:t>
                    </m:r>
                    <m:sSub>
                      <m:sSubPr>
                        <m:ctrlPr>
                          <a:rPr lang="de-DE" sz="1100" b="0" i="1">
                            <a:latin typeface="Cambria Math" panose="02040503050406030204" pitchFamily="18" charset="0"/>
                          </a:rPr>
                        </m:ctrlPr>
                      </m:sSubPr>
                      <m:e>
                        <m:r>
                          <a:rPr lang="de-DE" sz="1100" b="0" i="1">
                            <a:latin typeface="Cambria Math" panose="02040503050406030204" pitchFamily="18" charset="0"/>
                          </a:rPr>
                          <m:t>𝑣</m:t>
                        </m:r>
                      </m:e>
                      <m:sub>
                        <m:r>
                          <a:rPr lang="de-DE" sz="1100" b="0" i="1">
                            <a:latin typeface="Cambria Math" panose="02040503050406030204" pitchFamily="18" charset="0"/>
                          </a:rPr>
                          <m:t>𝑜</m:t>
                        </m:r>
                      </m:sub>
                    </m:sSub>
                    <m:r>
                      <a:rPr lang="de-DE" sz="1100" b="0" i="1">
                        <a:latin typeface="Cambria Math" panose="02040503050406030204" pitchFamily="18" charset="0"/>
                      </a:rPr>
                      <m:t>∗</m:t>
                    </m:r>
                    <m:r>
                      <a:rPr lang="de-DE" sz="1100" b="0" i="1">
                        <a:latin typeface="Cambria Math" panose="02040503050406030204" pitchFamily="18" charset="0"/>
                      </a:rPr>
                      <m:t>𝑡</m:t>
                    </m:r>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r>
                      <a:rPr lang="de-DE" sz="1100" b="0" i="1">
                        <a:latin typeface="Cambria Math" panose="02040503050406030204" pitchFamily="18" charset="0"/>
                      </a:rPr>
                      <m:t>∗</m:t>
                    </m:r>
                    <m:r>
                      <a:rPr lang="de-DE" sz="1100" b="0" i="1">
                        <a:latin typeface="Cambria Math" panose="02040503050406030204" pitchFamily="18" charset="0"/>
                      </a:rPr>
                      <m:t>𝑎</m:t>
                    </m:r>
                    <m:r>
                      <a:rPr lang="de-DE" sz="1100" b="0" i="1">
                        <a:latin typeface="Cambria Math" panose="02040503050406030204" pitchFamily="18" charset="0"/>
                      </a:rPr>
                      <m:t>∗ </m:t>
                    </m:r>
                    <m:sSup>
                      <m:sSupPr>
                        <m:ctrlPr>
                          <a:rPr lang="de-DE" sz="1100" b="0" i="1">
                            <a:latin typeface="Cambria Math" panose="02040503050406030204" pitchFamily="18" charset="0"/>
                          </a:rPr>
                        </m:ctrlPr>
                      </m:sSupPr>
                      <m:e>
                        <m:r>
                          <a:rPr lang="de-DE" sz="1100" b="0" i="1">
                            <a:latin typeface="Cambria Math" panose="02040503050406030204" pitchFamily="18" charset="0"/>
                          </a:rPr>
                          <m:t>𝑡</m:t>
                        </m:r>
                      </m:e>
                      <m:sup>
                        <m:r>
                          <a:rPr lang="de-DE" sz="1100" b="0" i="1">
                            <a:latin typeface="Cambria Math" panose="02040503050406030204" pitchFamily="18" charset="0"/>
                          </a:rPr>
                          <m:t>2</m:t>
                        </m:r>
                      </m:sup>
                    </m:sSup>
                    <m:r>
                      <a:rPr lang="de-DE" sz="1100" b="0" i="1">
                        <a:latin typeface="Cambria Math" panose="02040503050406030204" pitchFamily="18" charset="0"/>
                      </a:rPr>
                      <m:t> </m:t>
                    </m:r>
                    <m:r>
                      <a:rPr lang="de-DE" sz="1100" b="0" i="1">
                        <a:latin typeface="Cambria Math" panose="02040503050406030204" pitchFamily="18" charset="0"/>
                      </a:rPr>
                      <m:t>𝑚𝑖𝑡</m:t>
                    </m:r>
                    <m:r>
                      <a:rPr lang="de-DE" sz="1100" b="0" i="1">
                        <a:latin typeface="Cambria Math" panose="02040503050406030204" pitchFamily="18" charset="0"/>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𝑠</m:t>
                        </m:r>
                      </m:e>
                      <m:sub>
                        <m:r>
                          <a:rPr lang="de-DE" sz="1100" b="0" i="1">
                            <a:solidFill>
                              <a:schemeClr val="tx1"/>
                            </a:solidFill>
                            <a:effectLst/>
                            <a:latin typeface="Cambria Math" panose="02040503050406030204" pitchFamily="18" charset="0"/>
                            <a:ea typeface="+mn-ea"/>
                            <a:cs typeface="+mn-cs"/>
                          </a:rPr>
                          <m:t>0</m:t>
                        </m:r>
                      </m:sub>
                    </m:sSub>
                    <m:r>
                      <a:rPr lang="de-DE" sz="1100" b="0" i="1">
                        <a:solidFill>
                          <a:schemeClr val="tx1"/>
                        </a:solidFill>
                        <a:effectLst/>
                        <a:latin typeface="Cambria Math" panose="02040503050406030204" pitchFamily="18" charset="0"/>
                        <a:ea typeface="+mn-ea"/>
                        <a:cs typeface="+mn-cs"/>
                      </a:rPr>
                      <m:t>=0 →</m:t>
                    </m:r>
                    <m:r>
                      <a:rPr lang="de-DE" sz="1100" b="0" i="1">
                        <a:solidFill>
                          <a:schemeClr val="tx1"/>
                        </a:solidFill>
                        <a:effectLst/>
                        <a:latin typeface="Cambria Math" panose="02040503050406030204" pitchFamily="18" charset="0"/>
                        <a:ea typeface="+mn-ea"/>
                        <a:cs typeface="+mn-cs"/>
                      </a:rPr>
                      <m:t>𝑠</m:t>
                    </m:r>
                    <m:r>
                      <a:rPr lang="de-DE" sz="1100" b="0" i="1">
                        <a:solidFill>
                          <a:schemeClr val="tx1"/>
                        </a:solidFill>
                        <a:effectLst/>
                        <a:latin typeface="Cambria Math" panose="02040503050406030204" pitchFamily="18" charset="0"/>
                        <a:ea typeface="+mn-ea"/>
                        <a:cs typeface="+mn-cs"/>
                      </a:rPr>
                      <m:t>= </m:t>
                    </m:r>
                    <m:sSub>
                      <m:sSubPr>
                        <m:ctrlPr>
                          <a:rPr lang="de-DE" sz="1100" b="0" i="1">
                            <a:solidFill>
                              <a:schemeClr val="tx1"/>
                            </a:solidFill>
                            <a:effectLst/>
                            <a:latin typeface="Cambria Math" panose="02040503050406030204" pitchFamily="18" charset="0"/>
                            <a:ea typeface="+mn-ea"/>
                            <a:cs typeface="+mn-cs"/>
                          </a:rPr>
                        </m:ctrlPr>
                      </m:sSub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𝑜</m:t>
                        </m:r>
                      </m:sub>
                    </m:sSub>
                    <m:r>
                      <a:rPr lang="de-DE" sz="1100" b="0" i="1">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panose="02040503050406030204" pitchFamily="18" charset="0"/>
                        <a:ea typeface="+mn-ea"/>
                        <a:cs typeface="+mn-cs"/>
                      </a:rPr>
                      <m:t>𝑡</m:t>
                    </m:r>
                    <m:r>
                      <a:rPr lang="de-DE" sz="1100" b="0" i="1">
                        <a:solidFill>
                          <a:schemeClr val="tx1"/>
                        </a:solidFill>
                        <a:effectLst/>
                        <a:latin typeface="Cambria Math" panose="02040503050406030204" pitchFamily="18" charset="0"/>
                        <a:ea typeface="+mn-ea"/>
                        <a:cs typeface="+mn-cs"/>
                      </a:rPr>
                      <m:t>+</m:t>
                    </m:r>
                    <m:f>
                      <m:fPr>
                        <m:ctrlPr>
                          <a:rPr lang="de-DE" sz="1100" b="0" i="1">
                            <a:solidFill>
                              <a:schemeClr val="tx1"/>
                            </a:solidFill>
                            <a:effectLst/>
                            <a:latin typeface="Cambria Math" panose="02040503050406030204" pitchFamily="18" charset="0"/>
                            <a:ea typeface="+mn-ea"/>
                            <a:cs typeface="+mn-cs"/>
                          </a:rPr>
                        </m:ctrlPr>
                      </m:fPr>
                      <m:num>
                        <m:r>
                          <a:rPr lang="de-DE" sz="1100" b="0" i="1">
                            <a:solidFill>
                              <a:schemeClr val="tx1"/>
                            </a:solidFill>
                            <a:effectLst/>
                            <a:latin typeface="Cambria Math" panose="02040503050406030204" pitchFamily="18" charset="0"/>
                            <a:ea typeface="+mn-ea"/>
                            <a:cs typeface="+mn-cs"/>
                          </a:rPr>
                          <m:t>1</m:t>
                        </m:r>
                      </m:num>
                      <m:den>
                        <m:r>
                          <a:rPr lang="de-DE" sz="1100" b="0" i="1">
                            <a:solidFill>
                              <a:schemeClr val="tx1"/>
                            </a:solidFill>
                            <a:effectLst/>
                            <a:latin typeface="Cambria Math" panose="02040503050406030204" pitchFamily="18" charset="0"/>
                            <a:ea typeface="+mn-ea"/>
                            <a:cs typeface="+mn-cs"/>
                          </a:rPr>
                          <m:t>2</m:t>
                        </m:r>
                      </m:den>
                    </m:f>
                    <m:r>
                      <a:rPr lang="de-DE" sz="1100" b="0" i="1">
                        <a:solidFill>
                          <a:schemeClr val="tx1"/>
                        </a:solidFill>
                        <a:effectLst/>
                        <a:latin typeface="Cambria Math" panose="02040503050406030204" pitchFamily="18" charset="0"/>
                        <a:ea typeface="+mn-ea"/>
                        <a:cs typeface="+mn-cs"/>
                      </a:rPr>
                      <m:t>∗</m:t>
                    </m:r>
                    <m:r>
                      <a:rPr lang="de-DE" sz="1100" b="0" i="1">
                        <a:solidFill>
                          <a:schemeClr val="tx1"/>
                        </a:solidFill>
                        <a:effectLst/>
                        <a:latin typeface="Cambria Math" panose="02040503050406030204" pitchFamily="18" charset="0"/>
                        <a:ea typeface="+mn-ea"/>
                        <a:cs typeface="+mn-cs"/>
                      </a:rPr>
                      <m:t>𝑎</m:t>
                    </m:r>
                    <m:r>
                      <a:rPr lang="de-DE" sz="1100" b="0" i="1">
                        <a:solidFill>
                          <a:schemeClr val="tx1"/>
                        </a:solidFill>
                        <a:effectLst/>
                        <a:latin typeface="Cambria Math" panose="02040503050406030204" pitchFamily="18" charset="0"/>
                        <a:ea typeface="+mn-ea"/>
                        <a:cs typeface="+mn-cs"/>
                      </a:rPr>
                      <m:t>∗ </m:t>
                    </m:r>
                    <m:sSup>
                      <m:sSupPr>
                        <m:ctrlPr>
                          <a:rPr lang="de-DE" sz="1100" b="0" i="1">
                            <a:solidFill>
                              <a:schemeClr val="tx1"/>
                            </a:solidFill>
                            <a:effectLst/>
                            <a:latin typeface="Cambria Math" panose="02040503050406030204" pitchFamily="18" charset="0"/>
                            <a:ea typeface="+mn-ea"/>
                            <a:cs typeface="+mn-cs"/>
                          </a:rPr>
                        </m:ctrlPr>
                      </m:sSupPr>
                      <m:e>
                        <m:r>
                          <a:rPr lang="de-DE" sz="1100" b="0" i="1">
                            <a:solidFill>
                              <a:schemeClr val="tx1"/>
                            </a:solidFill>
                            <a:effectLst/>
                            <a:latin typeface="Cambria Math" panose="02040503050406030204" pitchFamily="18" charset="0"/>
                            <a:ea typeface="+mn-ea"/>
                            <a:cs typeface="+mn-cs"/>
                          </a:rPr>
                          <m:t>𝑡</m:t>
                        </m:r>
                      </m:e>
                      <m:sup>
                        <m:r>
                          <a:rPr lang="de-DE" sz="1100" b="0" i="1">
                            <a:solidFill>
                              <a:schemeClr val="tx1"/>
                            </a:solidFill>
                            <a:effectLst/>
                            <a:latin typeface="Cambria Math" panose="02040503050406030204" pitchFamily="18" charset="0"/>
                            <a:ea typeface="+mn-ea"/>
                            <a:cs typeface="+mn-cs"/>
                          </a:rPr>
                          <m:t>2</m:t>
                        </m:r>
                      </m:sup>
                    </m:sSup>
                    <m:r>
                      <a:rPr lang="de-DE" sz="1100" b="0" i="1">
                        <a:solidFill>
                          <a:schemeClr val="tx1"/>
                        </a:solidFill>
                        <a:effectLst/>
                        <a:latin typeface="Cambria Math" panose="02040503050406030204" pitchFamily="18" charset="0"/>
                        <a:ea typeface="+mn-ea"/>
                        <a:cs typeface="+mn-cs"/>
                      </a:rPr>
                      <m:t> </m:t>
                    </m:r>
                    <m:r>
                      <a:rPr lang="de-DE" sz="1100" b="0" i="1">
                        <a:latin typeface="Cambria Math" panose="02040503050406030204" pitchFamily="18" charset="0"/>
                      </a:rPr>
                      <m:t> </m:t>
                    </m:r>
                  </m:oMath>
                </m:oMathPara>
              </a14:m>
              <a:endParaRPr lang="de-DE" sz="1100"/>
            </a:p>
          </xdr:txBody>
        </xdr:sp>
      </mc:Choice>
      <mc:Fallback xmlns="">
        <xdr:sp macro="" textlink="">
          <xdr:nvSpPr>
            <xdr:cNvPr id="36" name="Textfeld 35">
              <a:extLst>
                <a:ext uri="{FF2B5EF4-FFF2-40B4-BE49-F238E27FC236}">
                  <a16:creationId xmlns:a16="http://schemas.microsoft.com/office/drawing/2014/main" id="{C9315F60-B697-4405-B13A-AE14D6FA969E}"/>
                </a:ext>
              </a:extLst>
            </xdr:cNvPr>
            <xdr:cNvSpPr txBox="1"/>
          </xdr:nvSpPr>
          <xdr:spPr>
            <a:xfrm>
              <a:off x="164123" y="7322529"/>
              <a:ext cx="3976025"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𝑠=𝑠_0+𝑣_𝑜∗𝑡+1/2∗𝑎∗ 𝑡^2  𝑚𝑖𝑡 </a:t>
              </a:r>
              <a:r>
                <a:rPr lang="de-DE" sz="1100" b="0" i="0">
                  <a:solidFill>
                    <a:schemeClr val="tx1"/>
                  </a:solidFill>
                  <a:effectLst/>
                  <a:latin typeface="+mn-lt"/>
                  <a:ea typeface="+mn-ea"/>
                  <a:cs typeface="+mn-cs"/>
                </a:rPr>
                <a:t>𝑠_0</a:t>
              </a:r>
              <a:r>
                <a:rPr lang="de-DE" sz="1100" b="0" i="0">
                  <a:solidFill>
                    <a:schemeClr val="tx1"/>
                  </a:solidFill>
                  <a:effectLst/>
                  <a:latin typeface="Cambria Math" panose="02040503050406030204" pitchFamily="18" charset="0"/>
                  <a:ea typeface="+mn-ea"/>
                  <a:cs typeface="+mn-cs"/>
                </a:rPr>
                <a:t>=0 →𝑠= </a:t>
              </a:r>
              <a:r>
                <a:rPr lang="de-DE" sz="1100" b="0" i="0">
                  <a:solidFill>
                    <a:schemeClr val="tx1"/>
                  </a:solidFill>
                  <a:effectLst/>
                  <a:latin typeface="+mn-lt"/>
                  <a:ea typeface="+mn-ea"/>
                  <a:cs typeface="+mn-cs"/>
                </a:rPr>
                <a:t>𝑣_𝑜∗𝑡+1/2∗𝑎∗ 𝑡^2</a:t>
              </a:r>
              <a:r>
                <a:rPr lang="de-DE" sz="1100" b="0" i="0">
                  <a:solidFill>
                    <a:schemeClr val="tx1"/>
                  </a:solidFill>
                  <a:effectLst/>
                  <a:latin typeface="Cambria Math" panose="02040503050406030204" pitchFamily="18" charset="0"/>
                  <a:ea typeface="+mn-ea"/>
                  <a:cs typeface="+mn-cs"/>
                </a:rPr>
                <a:t>  </a:t>
              </a:r>
              <a:r>
                <a:rPr lang="de-DE" sz="1100" b="0" i="0">
                  <a:latin typeface="Cambria Math" panose="02040503050406030204" pitchFamily="18" charset="0"/>
                </a:rPr>
                <a:t> </a:t>
              </a:r>
              <a:endParaRPr lang="de-DE" sz="1100"/>
            </a:p>
          </xdr:txBody>
        </xdr:sp>
      </mc:Fallback>
    </mc:AlternateContent>
    <xdr:clientData/>
  </xdr:oneCellAnchor>
  <xdr:oneCellAnchor>
    <xdr:from>
      <xdr:col>4</xdr:col>
      <xdr:colOff>359019</xdr:colOff>
      <xdr:row>40</xdr:row>
      <xdr:rowOff>43962</xdr:rowOff>
    </xdr:from>
    <xdr:ext cx="769313" cy="348878"/>
    <mc:AlternateContent xmlns:mc="http://schemas.openxmlformats.org/markup-compatibility/2006" xmlns:a14="http://schemas.microsoft.com/office/drawing/2010/main">
      <mc:Choice Requires="a14">
        <xdr:sp macro="" textlink="">
          <xdr:nvSpPr>
            <xdr:cNvPr id="40" name="Textfeld 39">
              <a:extLst>
                <a:ext uri="{FF2B5EF4-FFF2-40B4-BE49-F238E27FC236}">
                  <a16:creationId xmlns:a16="http://schemas.microsoft.com/office/drawing/2014/main" id="{9F25A940-911D-4394-AD27-DB6BA2EBA40B}"/>
                </a:ext>
              </a:extLst>
            </xdr:cNvPr>
            <xdr:cNvSpPr txBox="1"/>
          </xdr:nvSpPr>
          <xdr:spPr>
            <a:xfrm>
              <a:off x="3407019" y="7751885"/>
              <a:ext cx="769313" cy="348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de-DE" sz="1100" b="0" i="1">
                        <a:latin typeface="Cambria Math" panose="02040503050406030204" pitchFamily="18" charset="0"/>
                      </a:rPr>
                      <m:t>𝑠</m:t>
                    </m:r>
                    <m:r>
                      <a:rPr lang="de-DE" sz="1100" b="0" i="1">
                        <a:latin typeface="Cambria Math" panose="02040503050406030204" pitchFamily="18" charset="0"/>
                      </a:rPr>
                      <m:t>=−</m:t>
                    </m:r>
                    <m:f>
                      <m:fPr>
                        <m:ctrlPr>
                          <a:rPr lang="de-DE" sz="1100" b="0" i="1">
                            <a:latin typeface="Cambria Math" panose="02040503050406030204" pitchFamily="18" charset="0"/>
                          </a:rPr>
                        </m:ctrlPr>
                      </m:fPr>
                      <m:num>
                        <m:r>
                          <a:rPr lang="de-DE" sz="1100" b="0" i="1">
                            <a:latin typeface="Cambria Math" panose="02040503050406030204" pitchFamily="18" charset="0"/>
                          </a:rPr>
                          <m:t>1</m:t>
                        </m:r>
                      </m:num>
                      <m:den>
                        <m:r>
                          <a:rPr lang="de-DE" sz="1100" b="0" i="1">
                            <a:latin typeface="Cambria Math" panose="02040503050406030204" pitchFamily="18" charset="0"/>
                          </a:rPr>
                          <m:t>2</m:t>
                        </m:r>
                      </m:den>
                    </m:f>
                    <m:r>
                      <a:rPr lang="de-DE" sz="1100" b="0" i="1">
                        <a:latin typeface="Cambria Math" panose="02040503050406030204" pitchFamily="18" charset="0"/>
                      </a:rPr>
                      <m:t>∗</m:t>
                    </m:r>
                    <m:f>
                      <m:fPr>
                        <m:ctrlPr>
                          <a:rPr lang="de-DE" sz="1100" b="0" i="1">
                            <a:latin typeface="Cambria Math" panose="02040503050406030204" pitchFamily="18" charset="0"/>
                          </a:rPr>
                        </m:ctrlPr>
                      </m:fPr>
                      <m:num>
                        <m:sSubSup>
                          <m:sSubSupPr>
                            <m:ctrlPr>
                              <a:rPr lang="de-DE" sz="1100" b="0" i="1">
                                <a:solidFill>
                                  <a:schemeClr val="tx1"/>
                                </a:solidFill>
                                <a:effectLst/>
                                <a:latin typeface="Cambria Math" panose="02040503050406030204" pitchFamily="18" charset="0"/>
                                <a:ea typeface="+mn-ea"/>
                                <a:cs typeface="+mn-cs"/>
                              </a:rPr>
                            </m:ctrlPr>
                          </m:sSubSupPr>
                          <m:e>
                            <m:r>
                              <a:rPr lang="de-DE" sz="1100" b="0" i="1">
                                <a:solidFill>
                                  <a:schemeClr val="tx1"/>
                                </a:solidFill>
                                <a:effectLst/>
                                <a:latin typeface="Cambria Math" panose="02040503050406030204" pitchFamily="18" charset="0"/>
                                <a:ea typeface="+mn-ea"/>
                                <a:cs typeface="+mn-cs"/>
                              </a:rPr>
                              <m:t>𝑣</m:t>
                            </m:r>
                          </m:e>
                          <m:sub>
                            <m:r>
                              <a:rPr lang="de-DE" sz="1100" b="0" i="1">
                                <a:solidFill>
                                  <a:schemeClr val="tx1"/>
                                </a:solidFill>
                                <a:effectLst/>
                                <a:latin typeface="Cambria Math" panose="02040503050406030204" pitchFamily="18" charset="0"/>
                                <a:ea typeface="+mn-ea"/>
                                <a:cs typeface="+mn-cs"/>
                              </a:rPr>
                              <m:t>0</m:t>
                            </m:r>
                          </m:sub>
                          <m:sup>
                            <m:r>
                              <a:rPr lang="de-DE" sz="1100" b="0" i="1">
                                <a:solidFill>
                                  <a:schemeClr val="tx1"/>
                                </a:solidFill>
                                <a:effectLst/>
                                <a:latin typeface="Cambria Math" panose="02040503050406030204" pitchFamily="18" charset="0"/>
                                <a:ea typeface="+mn-ea"/>
                                <a:cs typeface="+mn-cs"/>
                              </a:rPr>
                              <m:t>2</m:t>
                            </m:r>
                          </m:sup>
                        </m:sSubSup>
                      </m:num>
                      <m:den>
                        <m:r>
                          <a:rPr lang="de-DE" sz="1100" b="0" i="1">
                            <a:latin typeface="Cambria Math" panose="02040503050406030204" pitchFamily="18" charset="0"/>
                          </a:rPr>
                          <m:t>𝑎</m:t>
                        </m:r>
                      </m:den>
                    </m:f>
                  </m:oMath>
                </m:oMathPara>
              </a14:m>
              <a:endParaRPr lang="de-DE" sz="1100"/>
            </a:p>
          </xdr:txBody>
        </xdr:sp>
      </mc:Choice>
      <mc:Fallback xmlns="">
        <xdr:sp macro="" textlink="">
          <xdr:nvSpPr>
            <xdr:cNvPr id="40" name="Textfeld 39">
              <a:extLst>
                <a:ext uri="{FF2B5EF4-FFF2-40B4-BE49-F238E27FC236}">
                  <a16:creationId xmlns:a16="http://schemas.microsoft.com/office/drawing/2014/main" id="{9F25A940-911D-4394-AD27-DB6BA2EBA40B}"/>
                </a:ext>
              </a:extLst>
            </xdr:cNvPr>
            <xdr:cNvSpPr txBox="1"/>
          </xdr:nvSpPr>
          <xdr:spPr>
            <a:xfrm>
              <a:off x="3407019" y="7751885"/>
              <a:ext cx="769313" cy="348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𝑠=−1/2∗(</a:t>
              </a:r>
              <a:r>
                <a:rPr lang="de-DE" sz="1100" b="0" i="0">
                  <a:solidFill>
                    <a:schemeClr val="tx1"/>
                  </a:solidFill>
                  <a:effectLst/>
                  <a:latin typeface="+mn-lt"/>
                  <a:ea typeface="+mn-ea"/>
                  <a:cs typeface="+mn-cs"/>
                </a:rPr>
                <a:t>𝑣_0^2</a:t>
              </a:r>
              <a:r>
                <a:rPr lang="de-DE" sz="1100" b="0" i="0">
                  <a:solidFill>
                    <a:schemeClr val="tx1"/>
                  </a:solidFill>
                  <a:effectLst/>
                  <a:latin typeface="Cambria Math" panose="02040503050406030204" pitchFamily="18" charset="0"/>
                  <a:ea typeface="+mn-ea"/>
                  <a:cs typeface="+mn-cs"/>
                </a:rPr>
                <a:t>)/</a:t>
              </a:r>
              <a:r>
                <a:rPr lang="de-DE" sz="1100" b="0" i="0">
                  <a:latin typeface="Cambria Math" panose="02040503050406030204" pitchFamily="18" charset="0"/>
                </a:rPr>
                <a:t>𝑎</a:t>
              </a:r>
              <a:endParaRPr lang="de-DE" sz="1100"/>
            </a:p>
          </xdr:txBody>
        </xdr:sp>
      </mc:Fallback>
    </mc:AlternateContent>
    <xdr:clientData/>
  </xdr:oneCellAnchor>
  <xdr:twoCellAnchor>
    <xdr:from>
      <xdr:col>6</xdr:col>
      <xdr:colOff>424962</xdr:colOff>
      <xdr:row>63</xdr:row>
      <xdr:rowOff>131885</xdr:rowOff>
    </xdr:from>
    <xdr:to>
      <xdr:col>7</xdr:col>
      <xdr:colOff>256443</xdr:colOff>
      <xdr:row>65</xdr:row>
      <xdr:rowOff>58615</xdr:rowOff>
    </xdr:to>
    <xdr:sp macro="" textlink="">
      <xdr:nvSpPr>
        <xdr:cNvPr id="2" name="Pfeil: nach unten gekrümmt 1">
          <a:extLst>
            <a:ext uri="{FF2B5EF4-FFF2-40B4-BE49-F238E27FC236}">
              <a16:creationId xmlns:a16="http://schemas.microsoft.com/office/drawing/2014/main" id="{770F1366-506E-182A-49AE-369C423EF6D8}"/>
            </a:ext>
          </a:extLst>
        </xdr:cNvPr>
        <xdr:cNvSpPr/>
      </xdr:nvSpPr>
      <xdr:spPr>
        <a:xfrm>
          <a:off x="5092212" y="12419135"/>
          <a:ext cx="659423" cy="307730"/>
        </a:xfrm>
        <a:prstGeom prst="curved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solidFill>
              <a:schemeClr val="tx1"/>
            </a:solidFill>
          </a:endParaRPr>
        </a:p>
      </xdr:txBody>
    </xdr:sp>
    <xdr:clientData/>
  </xdr:twoCellAnchor>
  <xdr:twoCellAnchor>
    <xdr:from>
      <xdr:col>6</xdr:col>
      <xdr:colOff>630115</xdr:colOff>
      <xdr:row>64</xdr:row>
      <xdr:rowOff>43960</xdr:rowOff>
    </xdr:from>
    <xdr:to>
      <xdr:col>7</xdr:col>
      <xdr:colOff>14654</xdr:colOff>
      <xdr:row>65</xdr:row>
      <xdr:rowOff>80595</xdr:rowOff>
    </xdr:to>
    <xdr:sp macro="" textlink="">
      <xdr:nvSpPr>
        <xdr:cNvPr id="19" name="Kreuz 18">
          <a:extLst>
            <a:ext uri="{FF2B5EF4-FFF2-40B4-BE49-F238E27FC236}">
              <a16:creationId xmlns:a16="http://schemas.microsoft.com/office/drawing/2014/main" id="{B7518F39-0E2A-6A81-7444-C8E8E5C0036A}"/>
            </a:ext>
          </a:extLst>
        </xdr:cNvPr>
        <xdr:cNvSpPr/>
      </xdr:nvSpPr>
      <xdr:spPr>
        <a:xfrm>
          <a:off x="5297365" y="12521710"/>
          <a:ext cx="212481" cy="227135"/>
        </a:xfrm>
        <a:prstGeom prst="plus">
          <a:avLst>
            <a:gd name="adj" fmla="val 4382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0</xdr:colOff>
      <xdr:row>46</xdr:row>
      <xdr:rowOff>0</xdr:rowOff>
    </xdr:from>
    <xdr:to>
      <xdr:col>2</xdr:col>
      <xdr:colOff>659423</xdr:colOff>
      <xdr:row>47</xdr:row>
      <xdr:rowOff>80595</xdr:rowOff>
    </xdr:to>
    <xdr:sp macro="" textlink="">
      <xdr:nvSpPr>
        <xdr:cNvPr id="20" name="Pfeil: nach unten gekrümmt 19">
          <a:extLst>
            <a:ext uri="{FF2B5EF4-FFF2-40B4-BE49-F238E27FC236}">
              <a16:creationId xmlns:a16="http://schemas.microsoft.com/office/drawing/2014/main" id="{5BB5EB3B-3AC3-4877-A90A-D961F24B1B6D}"/>
            </a:ext>
          </a:extLst>
        </xdr:cNvPr>
        <xdr:cNvSpPr/>
      </xdr:nvSpPr>
      <xdr:spPr>
        <a:xfrm>
          <a:off x="1524000" y="8858250"/>
          <a:ext cx="659423" cy="307730"/>
        </a:xfrm>
        <a:prstGeom prst="curved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solidFill>
              <a:schemeClr val="tx1"/>
            </a:solidFill>
          </a:endParaRPr>
        </a:p>
      </xdr:txBody>
    </xdr:sp>
    <xdr:clientData/>
  </xdr:twoCellAnchor>
  <xdr:twoCellAnchor>
    <xdr:from>
      <xdr:col>2</xdr:col>
      <xdr:colOff>205153</xdr:colOff>
      <xdr:row>46</xdr:row>
      <xdr:rowOff>102575</xdr:rowOff>
    </xdr:from>
    <xdr:to>
      <xdr:col>2</xdr:col>
      <xdr:colOff>417634</xdr:colOff>
      <xdr:row>47</xdr:row>
      <xdr:rowOff>102575</xdr:rowOff>
    </xdr:to>
    <xdr:sp macro="" textlink="">
      <xdr:nvSpPr>
        <xdr:cNvPr id="21" name="Kreuz 20">
          <a:extLst>
            <a:ext uri="{FF2B5EF4-FFF2-40B4-BE49-F238E27FC236}">
              <a16:creationId xmlns:a16="http://schemas.microsoft.com/office/drawing/2014/main" id="{61DB1EFB-D19D-410E-B2CF-6914A1827D39}"/>
            </a:ext>
          </a:extLst>
        </xdr:cNvPr>
        <xdr:cNvSpPr/>
      </xdr:nvSpPr>
      <xdr:spPr>
        <a:xfrm>
          <a:off x="1729153" y="8960825"/>
          <a:ext cx="212481" cy="227135"/>
        </a:xfrm>
        <a:prstGeom prst="plus">
          <a:avLst>
            <a:gd name="adj" fmla="val 4382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1</xdr:col>
      <xdr:colOff>495117</xdr:colOff>
      <xdr:row>12</xdr:row>
      <xdr:rowOff>236547</xdr:rowOff>
    </xdr:from>
    <xdr:ext cx="1595117" cy="500137"/>
    <mc:AlternateContent xmlns:mc="http://schemas.openxmlformats.org/markup-compatibility/2006" xmlns:a14="http://schemas.microsoft.com/office/drawing/2010/main">
      <mc:Choice Requires="a14">
        <xdr:sp macro="" textlink="">
          <xdr:nvSpPr>
            <xdr:cNvPr id="10" name="Textfeld 9">
              <a:extLst>
                <a:ext uri="{FF2B5EF4-FFF2-40B4-BE49-F238E27FC236}">
                  <a16:creationId xmlns:a16="http://schemas.microsoft.com/office/drawing/2014/main" id="{C6A47D15-A8B1-4EB7-99D5-79D5B62FB3E2}"/>
                </a:ext>
              </a:extLst>
            </xdr:cNvPr>
            <xdr:cNvSpPr txBox="1"/>
          </xdr:nvSpPr>
          <xdr:spPr>
            <a:xfrm>
              <a:off x="1276995" y="2827347"/>
              <a:ext cx="15951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𝜑</m:t>
                        </m:r>
                      </m:e>
                      <m:sub>
                        <m:r>
                          <a:rPr lang="de-DE" sz="1100" i="1">
                            <a:solidFill>
                              <a:schemeClr val="tx1"/>
                            </a:solidFill>
                            <a:effectLst/>
                            <a:latin typeface="Cambria Math" panose="02040503050406030204" pitchFamily="18" charset="0"/>
                            <a:ea typeface="+mn-ea"/>
                            <a:cs typeface="+mn-cs"/>
                          </a:rPr>
                          <m:t>𝑡h</m:t>
                        </m:r>
                      </m:sub>
                    </m:sSub>
                    <m:r>
                      <a:rPr lang="de-DE" sz="1100">
                        <a:solidFill>
                          <a:schemeClr val="tx1"/>
                        </a:solidFill>
                        <a:effectLst/>
                        <a:latin typeface="Cambria Math" panose="02040503050406030204" pitchFamily="18" charset="0"/>
                        <a:ea typeface="+mn-ea"/>
                        <a:cs typeface="+mn-cs"/>
                      </a:rPr>
                      <m:t>=</m:t>
                    </m:r>
                    <m:rad>
                      <m:radPr>
                        <m:ctrlPr>
                          <a:rPr lang="de-DE" sz="1100" i="1">
                            <a:solidFill>
                              <a:schemeClr val="tx1"/>
                            </a:solidFill>
                            <a:effectLst/>
                            <a:latin typeface="Cambria Math" panose="02040503050406030204" pitchFamily="18" charset="0"/>
                            <a:ea typeface="+mn-ea"/>
                            <a:cs typeface="+mn-cs"/>
                          </a:rPr>
                        </m:ctrlPr>
                      </m:radPr>
                      <m:deg>
                        <m:r>
                          <a:rPr lang="de-DE" sz="1100" i="1">
                            <a:solidFill>
                              <a:schemeClr val="tx1"/>
                            </a:solidFill>
                            <a:effectLst/>
                            <a:latin typeface="Cambria Math" panose="02040503050406030204" pitchFamily="18" charset="0"/>
                            <a:ea typeface="+mn-ea"/>
                            <a:cs typeface="+mn-cs"/>
                          </a:rPr>
                          <m:t>𝑧</m:t>
                        </m:r>
                        <m:r>
                          <a:rPr lang="de-DE" sz="1100" i="1">
                            <a:solidFill>
                              <a:schemeClr val="tx1"/>
                            </a:solidFill>
                            <a:effectLst/>
                            <a:latin typeface="Cambria Math" panose="02040503050406030204" pitchFamily="18" charset="0"/>
                            <a:ea typeface="+mn-ea"/>
                            <a:cs typeface="+mn-cs"/>
                          </a:rPr>
                          <m:t>−</m:t>
                        </m:r>
                        <m:r>
                          <a:rPr lang="de-DE" sz="1100">
                            <a:solidFill>
                              <a:schemeClr val="tx1"/>
                            </a:solidFill>
                            <a:effectLst/>
                            <a:latin typeface="Cambria Math" panose="02040503050406030204" pitchFamily="18" charset="0"/>
                            <a:ea typeface="+mn-ea"/>
                            <a:cs typeface="+mn-cs"/>
                          </a:rPr>
                          <m:t>1</m:t>
                        </m:r>
                      </m:deg>
                      <m:e>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i</m:t>
                            </m:r>
                          </m:e>
                          <m:sub>
                            <m:r>
                              <a:rPr lang="de-DE" sz="1100" i="1">
                                <a:solidFill>
                                  <a:schemeClr val="tx1"/>
                                </a:solidFill>
                                <a:effectLst/>
                                <a:latin typeface="Cambria Math" panose="02040503050406030204" pitchFamily="18" charset="0"/>
                                <a:ea typeface="+mn-ea"/>
                                <a:cs typeface="+mn-cs"/>
                              </a:rPr>
                              <m:t>𝐺</m:t>
                            </m:r>
                            <m:r>
                              <a:rPr lang="de-DE" sz="1100">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𝑔𝑒𝑠</m:t>
                            </m:r>
                          </m:sub>
                        </m:sSub>
                      </m:e>
                    </m:rad>
                    <m:r>
                      <a:rPr lang="de-DE" sz="1100">
                        <a:solidFill>
                          <a:schemeClr val="tx1"/>
                        </a:solidFill>
                        <a:effectLst/>
                        <a:latin typeface="Cambria Math" panose="02040503050406030204" pitchFamily="18" charset="0"/>
                        <a:ea typeface="+mn-ea"/>
                        <a:cs typeface="+mn-cs"/>
                      </a:rPr>
                      <m:t>=</m:t>
                    </m:r>
                    <m:rad>
                      <m:radPr>
                        <m:ctrlPr>
                          <a:rPr lang="de-DE" sz="1100" i="1">
                            <a:solidFill>
                              <a:schemeClr val="tx1"/>
                            </a:solidFill>
                            <a:effectLst/>
                            <a:latin typeface="Cambria Math" panose="02040503050406030204" pitchFamily="18" charset="0"/>
                            <a:ea typeface="+mn-ea"/>
                            <a:cs typeface="+mn-cs"/>
                          </a:rPr>
                        </m:ctrlPr>
                      </m:radPr>
                      <m:deg>
                        <m:r>
                          <a:rPr lang="de-DE" sz="1100" i="1">
                            <a:solidFill>
                              <a:schemeClr val="tx1"/>
                            </a:solidFill>
                            <a:effectLst/>
                            <a:latin typeface="Cambria Math" panose="02040503050406030204" pitchFamily="18" charset="0"/>
                            <a:ea typeface="+mn-ea"/>
                            <a:cs typeface="+mn-cs"/>
                          </a:rPr>
                          <m:t>𝑧</m:t>
                        </m:r>
                        <m:r>
                          <a:rPr lang="de-DE" sz="1100" i="1">
                            <a:solidFill>
                              <a:schemeClr val="tx1"/>
                            </a:solidFill>
                            <a:effectLst/>
                            <a:latin typeface="Cambria Math" panose="02040503050406030204" pitchFamily="18" charset="0"/>
                            <a:ea typeface="+mn-ea"/>
                            <a:cs typeface="+mn-cs"/>
                          </a:rPr>
                          <m:t>−</m:t>
                        </m:r>
                        <m:r>
                          <a:rPr lang="de-DE" sz="1100">
                            <a:solidFill>
                              <a:schemeClr val="tx1"/>
                            </a:solidFill>
                            <a:effectLst/>
                            <a:latin typeface="Cambria Math" panose="02040503050406030204" pitchFamily="18" charset="0"/>
                            <a:ea typeface="+mn-ea"/>
                            <a:cs typeface="+mn-cs"/>
                          </a:rPr>
                          <m:t>1</m:t>
                        </m:r>
                      </m:deg>
                      <m:e>
                        <m:f>
                          <m:fPr>
                            <m:ctrlPr>
                              <a:rPr lang="de-DE" sz="1100" i="1">
                                <a:solidFill>
                                  <a:schemeClr val="tx1"/>
                                </a:solidFill>
                                <a:effectLst/>
                                <a:latin typeface="Cambria Math" panose="02040503050406030204" pitchFamily="18" charset="0"/>
                                <a:ea typeface="+mn-ea"/>
                                <a:cs typeface="+mn-cs"/>
                              </a:rPr>
                            </m:ctrlPr>
                          </m:fPr>
                          <m:num>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i</m:t>
                                </m:r>
                              </m:e>
                              <m:sub>
                                <m:r>
                                  <a:rPr lang="de-DE" sz="1100" i="1">
                                    <a:solidFill>
                                      <a:schemeClr val="tx1"/>
                                    </a:solidFill>
                                    <a:effectLst/>
                                    <a:latin typeface="Cambria Math" panose="02040503050406030204" pitchFamily="18" charset="0"/>
                                    <a:ea typeface="+mn-ea"/>
                                    <a:cs typeface="+mn-cs"/>
                                  </a:rPr>
                                  <m:t>𝑚𝑎𝑥</m:t>
                                </m:r>
                              </m:sub>
                            </m:sSub>
                          </m:num>
                          <m:den>
                            <m:sSub>
                              <m:sSubPr>
                                <m:ctrlPr>
                                  <a:rPr lang="de-DE" sz="1100" i="1">
                                    <a:solidFill>
                                      <a:schemeClr val="tx1"/>
                                    </a:solidFill>
                                    <a:effectLst/>
                                    <a:latin typeface="Cambria Math" panose="02040503050406030204" pitchFamily="18" charset="0"/>
                                    <a:ea typeface="+mn-ea"/>
                                    <a:cs typeface="+mn-cs"/>
                                  </a:rPr>
                                </m:ctrlPr>
                              </m:sSubPr>
                              <m:e>
                                <m:r>
                                  <m:rPr>
                                    <m:sty m:val="p"/>
                                  </m:rPr>
                                  <a:rPr lang="de-DE" sz="1100">
                                    <a:solidFill>
                                      <a:schemeClr val="tx1"/>
                                    </a:solidFill>
                                    <a:effectLst/>
                                    <a:latin typeface="Cambria Math" panose="02040503050406030204" pitchFamily="18" charset="0"/>
                                    <a:ea typeface="+mn-ea"/>
                                    <a:cs typeface="+mn-cs"/>
                                  </a:rPr>
                                  <m:t>i</m:t>
                                </m:r>
                              </m:e>
                              <m:sub>
                                <m:r>
                                  <a:rPr lang="de-DE" sz="1100" i="1">
                                    <a:solidFill>
                                      <a:schemeClr val="tx1"/>
                                    </a:solidFill>
                                    <a:effectLst/>
                                    <a:latin typeface="Cambria Math" panose="02040503050406030204" pitchFamily="18" charset="0"/>
                                    <a:ea typeface="+mn-ea"/>
                                    <a:cs typeface="+mn-cs"/>
                                  </a:rPr>
                                  <m:t>𝑚𝑖𝑛</m:t>
                                </m:r>
                              </m:sub>
                            </m:sSub>
                          </m:den>
                        </m:f>
                      </m:e>
                    </m:rad>
                  </m:oMath>
                </m:oMathPara>
              </a14:m>
              <a:endParaRPr lang="de-DE" sz="1100"/>
            </a:p>
          </xdr:txBody>
        </xdr:sp>
      </mc:Choice>
      <mc:Fallback xmlns="">
        <xdr:sp macro="" textlink="">
          <xdr:nvSpPr>
            <xdr:cNvPr id="10" name="Textfeld 9">
              <a:extLst>
                <a:ext uri="{FF2B5EF4-FFF2-40B4-BE49-F238E27FC236}">
                  <a16:creationId xmlns:a16="http://schemas.microsoft.com/office/drawing/2014/main" id="{C6A47D15-A8B1-4EB7-99D5-79D5B62FB3E2}"/>
                </a:ext>
              </a:extLst>
            </xdr:cNvPr>
            <xdr:cNvSpPr txBox="1"/>
          </xdr:nvSpPr>
          <xdr:spPr>
            <a:xfrm>
              <a:off x="1276995" y="2827347"/>
              <a:ext cx="15951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𝜑_𝑡ℎ=√(𝑧−1&amp;i_(𝐺,𝑔𝑒𝑠) )=√(𝑧−1&amp;i_𝑚𝑎𝑥/i_𝑚𝑖𝑛 )</a:t>
              </a:r>
              <a:endParaRPr lang="de-DE" sz="1100"/>
            </a:p>
          </xdr:txBody>
        </xdr:sp>
      </mc:Fallback>
    </mc:AlternateContent>
    <xdr:clientData/>
  </xdr:oneCellAnchor>
  <xdr:oneCellAnchor>
    <xdr:from>
      <xdr:col>1</xdr:col>
      <xdr:colOff>507593</xdr:colOff>
      <xdr:row>17</xdr:row>
      <xdr:rowOff>181094</xdr:rowOff>
    </xdr:from>
    <xdr:ext cx="1142620" cy="225418"/>
    <mc:AlternateContent xmlns:mc="http://schemas.openxmlformats.org/markup-compatibility/2006" xmlns:a14="http://schemas.microsoft.com/office/drawing/2010/main">
      <mc:Choice Requires="a14">
        <xdr:sp macro="" textlink="">
          <xdr:nvSpPr>
            <xdr:cNvPr id="11" name="Textfeld 10">
              <a:extLst>
                <a:ext uri="{FF2B5EF4-FFF2-40B4-BE49-F238E27FC236}">
                  <a16:creationId xmlns:a16="http://schemas.microsoft.com/office/drawing/2014/main" id="{D2CA3772-D112-40B6-A5DD-D46214A12457}"/>
                </a:ext>
              </a:extLst>
            </xdr:cNvPr>
            <xdr:cNvSpPr txBox="1"/>
          </xdr:nvSpPr>
          <xdr:spPr>
            <a:xfrm>
              <a:off x="1289471" y="3765807"/>
              <a:ext cx="1142620" cy="2254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𝑖</m:t>
                        </m:r>
                      </m:e>
                      <m:sub>
                        <m:r>
                          <a:rPr lang="de-DE" sz="1100" i="1">
                            <a:solidFill>
                              <a:schemeClr val="tx1"/>
                            </a:solidFill>
                            <a:effectLst/>
                            <a:latin typeface="Cambria Math" panose="02040503050406030204" pitchFamily="18" charset="0"/>
                            <a:ea typeface="+mn-ea"/>
                            <a:cs typeface="+mn-cs"/>
                          </a:rPr>
                          <m:t>𝑛</m:t>
                        </m:r>
                      </m:sub>
                    </m:sSub>
                    <m:r>
                      <a:rPr lang="de-DE" sz="1100" i="1">
                        <a:solidFill>
                          <a:schemeClr val="tx1"/>
                        </a:solidFill>
                        <a:effectLst/>
                        <a:latin typeface="Cambria Math" panose="02040503050406030204" pitchFamily="18" charset="0"/>
                        <a:ea typeface="+mn-ea"/>
                        <a:cs typeface="+mn-cs"/>
                      </a:rPr>
                      <m:t>=</m:t>
                    </m:r>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𝑖</m:t>
                        </m:r>
                      </m:e>
                      <m:sub>
                        <m:r>
                          <a:rPr lang="de-DE" sz="1100" i="1">
                            <a:solidFill>
                              <a:schemeClr val="tx1"/>
                            </a:solidFill>
                            <a:effectLst/>
                            <a:latin typeface="Cambria Math" panose="02040503050406030204" pitchFamily="18" charset="0"/>
                            <a:ea typeface="+mn-ea"/>
                            <a:cs typeface="+mn-cs"/>
                          </a:rPr>
                          <m:t>𝑧</m:t>
                        </m:r>
                      </m:sub>
                    </m:sSub>
                    <m:r>
                      <a:rPr lang="de-DE" sz="1100" i="1">
                        <a:solidFill>
                          <a:schemeClr val="tx1"/>
                        </a:solidFill>
                        <a:effectLst/>
                        <a:latin typeface="Cambria Math" panose="02040503050406030204" pitchFamily="18" charset="0"/>
                        <a:ea typeface="+mn-ea"/>
                        <a:cs typeface="+mn-cs"/>
                      </a:rPr>
                      <m:t>∗</m:t>
                    </m:r>
                    <m:sSup>
                      <m:sSupPr>
                        <m:ctrlPr>
                          <a:rPr lang="de-DE" sz="1100" i="1">
                            <a:solidFill>
                              <a:schemeClr val="tx1"/>
                            </a:solidFill>
                            <a:effectLst/>
                            <a:latin typeface="Cambria Math" panose="02040503050406030204" pitchFamily="18" charset="0"/>
                            <a:ea typeface="+mn-ea"/>
                            <a:cs typeface="+mn-cs"/>
                          </a:rPr>
                        </m:ctrlPr>
                      </m:sSupPr>
                      <m:e>
                        <m:sSub>
                          <m:sSubPr>
                            <m:ctrlPr>
                              <a:rPr lang="de-DE"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𝜑</m:t>
                            </m:r>
                          </m:e>
                          <m:sub>
                            <m:r>
                              <a:rPr lang="de-DE" sz="1100" i="1">
                                <a:solidFill>
                                  <a:schemeClr val="tx1"/>
                                </a:solidFill>
                                <a:effectLst/>
                                <a:latin typeface="Cambria Math" panose="02040503050406030204" pitchFamily="18" charset="0"/>
                                <a:ea typeface="+mn-ea"/>
                                <a:cs typeface="+mn-cs"/>
                              </a:rPr>
                              <m:t>𝑡h</m:t>
                            </m:r>
                          </m:sub>
                        </m:sSub>
                      </m:e>
                      <m:sup>
                        <m:r>
                          <a:rPr lang="de-DE"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𝑧</m:t>
                        </m:r>
                        <m:r>
                          <a:rPr lang="de-DE"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𝑛</m:t>
                        </m:r>
                        <m:r>
                          <a:rPr lang="de-DE" sz="1100" i="1">
                            <a:solidFill>
                              <a:schemeClr val="tx1"/>
                            </a:solidFill>
                            <a:effectLst/>
                            <a:latin typeface="Cambria Math" panose="02040503050406030204" pitchFamily="18" charset="0"/>
                            <a:ea typeface="+mn-ea"/>
                            <a:cs typeface="+mn-cs"/>
                          </a:rPr>
                          <m:t>)</m:t>
                        </m:r>
                      </m:sup>
                    </m:sSup>
                  </m:oMath>
                </m:oMathPara>
              </a14:m>
              <a:endParaRPr lang="de-DE" sz="1100" i="1">
                <a:solidFill>
                  <a:schemeClr val="tx1"/>
                </a:solidFill>
                <a:effectLst/>
                <a:latin typeface="+mn-lt"/>
                <a:ea typeface="+mn-ea"/>
                <a:cs typeface="+mn-cs"/>
              </a:endParaRPr>
            </a:p>
            <a:p>
              <a:endParaRPr lang="de-DE" sz="1100"/>
            </a:p>
          </xdr:txBody>
        </xdr:sp>
      </mc:Choice>
      <mc:Fallback xmlns="">
        <xdr:sp macro="" textlink="">
          <xdr:nvSpPr>
            <xdr:cNvPr id="11" name="Textfeld 10">
              <a:extLst>
                <a:ext uri="{FF2B5EF4-FFF2-40B4-BE49-F238E27FC236}">
                  <a16:creationId xmlns:a16="http://schemas.microsoft.com/office/drawing/2014/main" id="{D2CA3772-D112-40B6-A5DD-D46214A12457}"/>
                </a:ext>
              </a:extLst>
            </xdr:cNvPr>
            <xdr:cNvSpPr txBox="1"/>
          </xdr:nvSpPr>
          <xdr:spPr>
            <a:xfrm>
              <a:off x="1289471" y="3765807"/>
              <a:ext cx="1142620" cy="2254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de-DE" sz="1100" i="0">
                  <a:solidFill>
                    <a:schemeClr val="tx1"/>
                  </a:solidFill>
                  <a:effectLst/>
                  <a:latin typeface="Cambria Math" panose="02040503050406030204" pitchFamily="18" charset="0"/>
                  <a:ea typeface="+mn-ea"/>
                  <a:cs typeface="+mn-cs"/>
                </a:rPr>
                <a:t>𝑖_𝑛=𝑖_𝑧∗〖𝜑_𝑡ℎ〗^((𝑧−𝑛))</a:t>
              </a:r>
              <a:endParaRPr lang="de-DE" sz="1100" i="1">
                <a:solidFill>
                  <a:schemeClr val="tx1"/>
                </a:solidFill>
                <a:effectLst/>
                <a:latin typeface="+mn-lt"/>
                <a:ea typeface="+mn-ea"/>
                <a:cs typeface="+mn-cs"/>
              </a:endParaRPr>
            </a:p>
            <a:p>
              <a:endParaRPr lang="de-DE" sz="1100"/>
            </a:p>
          </xdr:txBody>
        </xdr:sp>
      </mc:Fallback>
    </mc:AlternateContent>
    <xdr:clientData/>
  </xdr:oneCellAnchor>
  <xdr:oneCellAnchor>
    <xdr:from>
      <xdr:col>2</xdr:col>
      <xdr:colOff>311260</xdr:colOff>
      <xdr:row>7</xdr:row>
      <xdr:rowOff>172609</xdr:rowOff>
    </xdr:from>
    <xdr:ext cx="1112933" cy="344325"/>
    <mc:AlternateContent xmlns:mc="http://schemas.openxmlformats.org/markup-compatibility/2006" xmlns:a14="http://schemas.microsoft.com/office/drawing/2010/main">
      <mc:Choice Requires="a14">
        <xdr:sp macro="" textlink="">
          <xdr:nvSpPr>
            <xdr:cNvPr id="25" name="Textfeld 24">
              <a:extLst>
                <a:ext uri="{FF2B5EF4-FFF2-40B4-BE49-F238E27FC236}">
                  <a16:creationId xmlns:a16="http://schemas.microsoft.com/office/drawing/2014/main" id="{7F1B2E33-2853-45F9-B42F-0E3D19451DE3}"/>
                </a:ext>
              </a:extLst>
            </xdr:cNvPr>
            <xdr:cNvSpPr txBox="1"/>
          </xdr:nvSpPr>
          <xdr:spPr>
            <a:xfrm>
              <a:off x="1941277" y="1603844"/>
              <a:ext cx="1112933" cy="34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b="0" i="1">
                            <a:latin typeface="Cambria Math" panose="02040503050406030204" pitchFamily="18" charset="0"/>
                          </a:rPr>
                        </m:ctrlPr>
                      </m:sSubPr>
                      <m:e>
                        <m:r>
                          <a:rPr lang="de-DE" sz="1100" b="0" i="1">
                            <a:latin typeface="Cambria Math" panose="02040503050406030204" pitchFamily="18" charset="0"/>
                          </a:rPr>
                          <m:t>𝑖</m:t>
                        </m:r>
                      </m:e>
                      <m:sub>
                        <m:r>
                          <a:rPr lang="de-DE" sz="1100" b="0" i="1">
                            <a:latin typeface="Cambria Math" panose="02040503050406030204" pitchFamily="18" charset="0"/>
                          </a:rPr>
                          <m:t>𝐺𝑔𝑒𝑠</m:t>
                        </m:r>
                      </m:sub>
                    </m:sSub>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𝑖</m:t>
                            </m:r>
                          </m:e>
                          <m:sub>
                            <m:r>
                              <a:rPr lang="de-DE" sz="1100" b="0" i="1">
                                <a:latin typeface="Cambria Math" panose="02040503050406030204" pitchFamily="18" charset="0"/>
                              </a:rPr>
                              <m:t>𝑚𝑎𝑥</m:t>
                            </m:r>
                          </m:sub>
                        </m:sSub>
                      </m:num>
                      <m:den>
                        <m:sSub>
                          <m:sSubPr>
                            <m:ctrlPr>
                              <a:rPr lang="de-DE" sz="1100" b="0" i="1">
                                <a:latin typeface="Cambria Math" panose="02040503050406030204" pitchFamily="18" charset="0"/>
                              </a:rPr>
                            </m:ctrlPr>
                          </m:sSubPr>
                          <m:e>
                            <m:r>
                              <a:rPr lang="de-DE" sz="1100" b="0" i="1">
                                <a:latin typeface="Cambria Math" panose="02040503050406030204" pitchFamily="18" charset="0"/>
                              </a:rPr>
                              <m:t>𝑖</m:t>
                            </m:r>
                          </m:e>
                          <m:sub>
                            <m:r>
                              <a:rPr lang="de-DE" sz="1100" b="0" i="1">
                                <a:latin typeface="Cambria Math" panose="02040503050406030204" pitchFamily="18" charset="0"/>
                              </a:rPr>
                              <m:t>𝑚𝑖𝑛</m:t>
                            </m:r>
                          </m:sub>
                        </m:sSub>
                      </m:den>
                    </m:f>
                    <m:r>
                      <a:rPr lang="de-DE" sz="1100" b="0" i="1">
                        <a:latin typeface="Cambria Math" panose="02040503050406030204" pitchFamily="18" charset="0"/>
                      </a:rPr>
                      <m:t>=</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𝑖</m:t>
                            </m:r>
                          </m:e>
                          <m:sub>
                            <m:r>
                              <a:rPr lang="de-DE" sz="1100" b="0" i="1">
                                <a:latin typeface="Cambria Math" panose="02040503050406030204" pitchFamily="18" charset="0"/>
                              </a:rPr>
                              <m:t>1</m:t>
                            </m:r>
                          </m:sub>
                        </m:sSub>
                      </m:num>
                      <m:den>
                        <m:sSub>
                          <m:sSubPr>
                            <m:ctrlPr>
                              <a:rPr lang="de-DE" sz="1100" b="0" i="1">
                                <a:latin typeface="Cambria Math" panose="02040503050406030204" pitchFamily="18" charset="0"/>
                              </a:rPr>
                            </m:ctrlPr>
                          </m:sSubPr>
                          <m:e>
                            <m:r>
                              <a:rPr lang="de-DE" sz="1100" b="0" i="1">
                                <a:latin typeface="Cambria Math" panose="02040503050406030204" pitchFamily="18" charset="0"/>
                              </a:rPr>
                              <m:t>𝑖</m:t>
                            </m:r>
                          </m:e>
                          <m:sub>
                            <m:r>
                              <a:rPr lang="de-DE" sz="1100" b="0" i="1">
                                <a:latin typeface="Cambria Math" panose="02040503050406030204" pitchFamily="18" charset="0"/>
                              </a:rPr>
                              <m:t>5</m:t>
                            </m:r>
                          </m:sub>
                        </m:sSub>
                      </m:den>
                    </m:f>
                  </m:oMath>
                </m:oMathPara>
              </a14:m>
              <a:endParaRPr lang="de-DE" sz="1100"/>
            </a:p>
          </xdr:txBody>
        </xdr:sp>
      </mc:Choice>
      <mc:Fallback xmlns="">
        <xdr:sp macro="" textlink="">
          <xdr:nvSpPr>
            <xdr:cNvPr id="25" name="Textfeld 24">
              <a:extLst>
                <a:ext uri="{FF2B5EF4-FFF2-40B4-BE49-F238E27FC236}">
                  <a16:creationId xmlns:a16="http://schemas.microsoft.com/office/drawing/2014/main" id="{7F1B2E33-2853-45F9-B42F-0E3D19451DE3}"/>
                </a:ext>
              </a:extLst>
            </xdr:cNvPr>
            <xdr:cNvSpPr txBox="1"/>
          </xdr:nvSpPr>
          <xdr:spPr>
            <a:xfrm>
              <a:off x="1941277" y="1603844"/>
              <a:ext cx="1112933" cy="34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b="0" i="0">
                  <a:latin typeface="Cambria Math" panose="02040503050406030204" pitchFamily="18" charset="0"/>
                </a:rPr>
                <a:t>𝑖_𝐺𝑔𝑒𝑠=𝑖_𝑚𝑎𝑥/𝑖_𝑚𝑖𝑛 =𝑖_1/𝑖_5 </a:t>
              </a:r>
              <a:endParaRPr lang="de-DE" sz="1100"/>
            </a:p>
          </xdr:txBody>
        </xdr:sp>
      </mc:Fallback>
    </mc:AlternateContent>
    <xdr:clientData/>
  </xdr:oneCellAnchor>
  <xdr:oneCellAnchor>
    <xdr:from>
      <xdr:col>2</xdr:col>
      <xdr:colOff>529425</xdr:colOff>
      <xdr:row>9</xdr:row>
      <xdr:rowOff>138320</xdr:rowOff>
    </xdr:from>
    <xdr:ext cx="650371" cy="363626"/>
    <mc:AlternateContent xmlns:mc="http://schemas.openxmlformats.org/markup-compatibility/2006" xmlns:a14="http://schemas.microsoft.com/office/drawing/2010/main">
      <mc:Choice Requires="a14">
        <xdr:sp macro="" textlink="">
          <xdr:nvSpPr>
            <xdr:cNvPr id="26" name="Textfeld 25">
              <a:extLst>
                <a:ext uri="{FF2B5EF4-FFF2-40B4-BE49-F238E27FC236}">
                  <a16:creationId xmlns:a16="http://schemas.microsoft.com/office/drawing/2014/main" id="{57B50490-96D0-4D85-9CFC-90B60EF3773B}"/>
                </a:ext>
              </a:extLst>
            </xdr:cNvPr>
            <xdr:cNvSpPr txBox="1"/>
          </xdr:nvSpPr>
          <xdr:spPr>
            <a:xfrm>
              <a:off x="2159442" y="2033381"/>
              <a:ext cx="650371"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de-DE" sz="1100" i="1">
                            <a:latin typeface="Cambria Math" panose="02040503050406030204" pitchFamily="18" charset="0"/>
                          </a:rPr>
                        </m:ctrlPr>
                      </m:sSubPr>
                      <m:e>
                        <m:r>
                          <a:rPr lang="de-DE" sz="1100" b="0" i="1">
                            <a:latin typeface="Cambria Math" panose="02040503050406030204" pitchFamily="18" charset="0"/>
                          </a:rPr>
                          <m:t>𝑖</m:t>
                        </m:r>
                      </m:e>
                      <m:sub>
                        <m:r>
                          <a:rPr lang="de-DE" sz="1100" b="0" i="1">
                            <a:latin typeface="Cambria Math" panose="02040503050406030204" pitchFamily="18" charset="0"/>
                          </a:rPr>
                          <m:t>5</m:t>
                        </m:r>
                      </m:sub>
                    </m:sSub>
                    <m:r>
                      <a:rPr lang="de-DE" sz="1100" b="0" i="1">
                        <a:latin typeface="Cambria Math" panose="02040503050406030204" pitchFamily="18" charset="0"/>
                      </a:rPr>
                      <m:t>= </m:t>
                    </m:r>
                    <m:f>
                      <m:fPr>
                        <m:ctrlPr>
                          <a:rPr lang="de-DE" sz="1100" b="0" i="1">
                            <a:latin typeface="Cambria Math" panose="02040503050406030204" pitchFamily="18" charset="0"/>
                          </a:rPr>
                        </m:ctrlPr>
                      </m:fPr>
                      <m:num>
                        <m:sSub>
                          <m:sSubPr>
                            <m:ctrlPr>
                              <a:rPr lang="de-DE" sz="1100" b="0" i="1">
                                <a:latin typeface="Cambria Math" panose="02040503050406030204" pitchFamily="18" charset="0"/>
                              </a:rPr>
                            </m:ctrlPr>
                          </m:sSubPr>
                          <m:e>
                            <m:r>
                              <a:rPr lang="de-DE" sz="1100" b="0" i="1">
                                <a:latin typeface="Cambria Math" panose="02040503050406030204" pitchFamily="18" charset="0"/>
                              </a:rPr>
                              <m:t>𝑖</m:t>
                            </m:r>
                          </m:e>
                          <m:sub>
                            <m:r>
                              <a:rPr lang="de-DE" sz="1100" b="0" i="1">
                                <a:latin typeface="Cambria Math" panose="02040503050406030204" pitchFamily="18" charset="0"/>
                              </a:rPr>
                              <m:t>1</m:t>
                            </m:r>
                          </m:sub>
                        </m:sSub>
                      </m:num>
                      <m:den>
                        <m:sSub>
                          <m:sSubPr>
                            <m:ctrlPr>
                              <a:rPr lang="de-DE" sz="1100" b="0" i="1">
                                <a:latin typeface="Cambria Math" panose="02040503050406030204" pitchFamily="18" charset="0"/>
                              </a:rPr>
                            </m:ctrlPr>
                          </m:sSubPr>
                          <m:e>
                            <m:r>
                              <a:rPr lang="de-DE" sz="1100" b="0" i="1">
                                <a:latin typeface="Cambria Math" panose="02040503050406030204" pitchFamily="18" charset="0"/>
                              </a:rPr>
                              <m:t>𝑖</m:t>
                            </m:r>
                          </m:e>
                          <m:sub>
                            <m:r>
                              <a:rPr lang="de-DE" sz="1100" b="0" i="1">
                                <a:latin typeface="Cambria Math" panose="02040503050406030204" pitchFamily="18" charset="0"/>
                              </a:rPr>
                              <m:t>𝐺𝑔𝑒𝑠</m:t>
                            </m:r>
                          </m:sub>
                        </m:sSub>
                      </m:den>
                    </m:f>
                  </m:oMath>
                </m:oMathPara>
              </a14:m>
              <a:endParaRPr lang="de-DE" sz="1100"/>
            </a:p>
          </xdr:txBody>
        </xdr:sp>
      </mc:Choice>
      <mc:Fallback xmlns="">
        <xdr:sp macro="" textlink="">
          <xdr:nvSpPr>
            <xdr:cNvPr id="26" name="Textfeld 25">
              <a:extLst>
                <a:ext uri="{FF2B5EF4-FFF2-40B4-BE49-F238E27FC236}">
                  <a16:creationId xmlns:a16="http://schemas.microsoft.com/office/drawing/2014/main" id="{57B50490-96D0-4D85-9CFC-90B60EF3773B}"/>
                </a:ext>
              </a:extLst>
            </xdr:cNvPr>
            <xdr:cNvSpPr txBox="1"/>
          </xdr:nvSpPr>
          <xdr:spPr>
            <a:xfrm>
              <a:off x="2159442" y="2033381"/>
              <a:ext cx="650371"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b="0" i="0">
                  <a:latin typeface="Cambria Math" panose="02040503050406030204" pitchFamily="18" charset="0"/>
                </a:rPr>
                <a:t>𝑖_5=  𝑖_1/𝑖_𝐺𝑔𝑒𝑠 </a:t>
              </a:r>
              <a:endParaRPr lang="de-DE"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apaTom\OneDrive\DHBW\Klausuren\2024\Klausur\L&#246;sungen\2023_Aktuell_Klausur-L&#246;sungen.xlsx" TargetMode="External"/><Relationship Id="rId1" Type="http://schemas.openxmlformats.org/officeDocument/2006/relationships/externalLinkPath" Target="2023_Aktuell_Klausur-L&#246;sung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ckblatt"/>
      <sheetName val="Daten und Kennfelder"/>
      <sheetName val="Aufgabe 1"/>
      <sheetName val=" 2 Fahrwiderst"/>
      <sheetName val="3 Kraftstoff"/>
      <sheetName val="4 Fahrleistung"/>
      <sheetName val="5 Einspur"/>
      <sheetName val="Punkteverteilung"/>
      <sheetName val="Getriebeauslegung"/>
      <sheetName val="7 Schwerpunkt"/>
      <sheetName val="3 Getriebe"/>
    </sheetNames>
    <sheetDataSet>
      <sheetData sheetId="0" refreshError="1"/>
      <sheetData sheetId="1">
        <row r="8">
          <cell r="G8">
            <v>900</v>
          </cell>
          <cell r="H8">
            <v>120</v>
          </cell>
        </row>
        <row r="9">
          <cell r="G9">
            <v>1500</v>
          </cell>
          <cell r="H9">
            <v>165</v>
          </cell>
        </row>
        <row r="10">
          <cell r="G10">
            <v>3000</v>
          </cell>
          <cell r="H10">
            <v>195</v>
          </cell>
        </row>
        <row r="11">
          <cell r="G11">
            <v>4800</v>
          </cell>
          <cell r="H11">
            <v>200</v>
          </cell>
        </row>
        <row r="12">
          <cell r="G12">
            <v>5500</v>
          </cell>
          <cell r="H12">
            <v>193</v>
          </cell>
        </row>
        <row r="13">
          <cell r="G13">
            <v>6100</v>
          </cell>
          <cell r="H13">
            <v>160</v>
          </cell>
        </row>
        <row r="44">
          <cell r="O44">
            <v>200</v>
          </cell>
          <cell r="P44" t="str">
            <v>200b</v>
          </cell>
          <cell r="Q44">
            <v>250</v>
          </cell>
        </row>
        <row r="45">
          <cell r="N45">
            <v>800</v>
          </cell>
          <cell r="T45">
            <v>120</v>
          </cell>
          <cell r="U45">
            <v>85</v>
          </cell>
          <cell r="V45">
            <v>52</v>
          </cell>
        </row>
        <row r="46">
          <cell r="N46">
            <v>1000</v>
          </cell>
          <cell r="T46">
            <v>110</v>
          </cell>
          <cell r="U46">
            <v>79</v>
          </cell>
          <cell r="V46">
            <v>50</v>
          </cell>
        </row>
        <row r="47">
          <cell r="N47">
            <v>1200</v>
          </cell>
          <cell r="T47">
            <v>105</v>
          </cell>
          <cell r="U47">
            <v>75</v>
          </cell>
          <cell r="V47">
            <v>47</v>
          </cell>
        </row>
        <row r="48">
          <cell r="N48">
            <v>1400</v>
          </cell>
          <cell r="S48">
            <v>160</v>
          </cell>
          <cell r="T48">
            <v>102</v>
          </cell>
          <cell r="U48">
            <v>72</v>
          </cell>
          <cell r="V48">
            <v>46</v>
          </cell>
        </row>
        <row r="49">
          <cell r="N49">
            <v>1600</v>
          </cell>
          <cell r="S49">
            <v>132</v>
          </cell>
          <cell r="T49">
            <v>99</v>
          </cell>
          <cell r="U49">
            <v>71</v>
          </cell>
          <cell r="V49">
            <v>45</v>
          </cell>
        </row>
        <row r="50">
          <cell r="N50">
            <v>1800</v>
          </cell>
          <cell r="Q50">
            <v>150</v>
          </cell>
          <cell r="R50">
            <v>150</v>
          </cell>
          <cell r="S50">
            <v>124</v>
          </cell>
          <cell r="T50">
            <v>97</v>
          </cell>
          <cell r="U50">
            <v>70</v>
          </cell>
          <cell r="V50">
            <v>44</v>
          </cell>
        </row>
        <row r="51">
          <cell r="N51">
            <v>2000</v>
          </cell>
          <cell r="Q51">
            <v>140</v>
          </cell>
          <cell r="R51">
            <v>170</v>
          </cell>
          <cell r="S51">
            <v>121</v>
          </cell>
          <cell r="T51">
            <v>95</v>
          </cell>
          <cell r="U51">
            <v>69</v>
          </cell>
          <cell r="V51">
            <v>43</v>
          </cell>
        </row>
        <row r="52">
          <cell r="N52">
            <v>2200</v>
          </cell>
          <cell r="O52">
            <v>170</v>
          </cell>
          <cell r="P52">
            <v>170</v>
          </cell>
          <cell r="Q52">
            <v>134</v>
          </cell>
          <cell r="R52">
            <v>182</v>
          </cell>
          <cell r="S52">
            <v>119</v>
          </cell>
          <cell r="T52">
            <v>93</v>
          </cell>
          <cell r="U52">
            <v>68</v>
          </cell>
          <cell r="V52">
            <v>42</v>
          </cell>
        </row>
        <row r="53">
          <cell r="N53">
            <v>2400</v>
          </cell>
          <cell r="O53">
            <v>165</v>
          </cell>
          <cell r="P53">
            <v>175</v>
          </cell>
          <cell r="Q53">
            <v>133</v>
          </cell>
          <cell r="R53">
            <v>187</v>
          </cell>
          <cell r="S53">
            <v>118</v>
          </cell>
          <cell r="T53">
            <v>91</v>
          </cell>
          <cell r="U53">
            <v>67</v>
          </cell>
          <cell r="V53">
            <v>41</v>
          </cell>
        </row>
        <row r="54">
          <cell r="N54">
            <v>2600</v>
          </cell>
          <cell r="O54">
            <v>170</v>
          </cell>
          <cell r="P54">
            <v>170</v>
          </cell>
          <cell r="Q54">
            <v>135</v>
          </cell>
          <cell r="R54">
            <v>190</v>
          </cell>
          <cell r="S54">
            <v>118</v>
          </cell>
          <cell r="T54">
            <v>90</v>
          </cell>
          <cell r="U54">
            <v>66</v>
          </cell>
          <cell r="V54">
            <v>41</v>
          </cell>
        </row>
        <row r="55">
          <cell r="N55">
            <v>2800</v>
          </cell>
          <cell r="Q55">
            <v>140</v>
          </cell>
          <cell r="R55">
            <v>188</v>
          </cell>
          <cell r="S55">
            <v>118</v>
          </cell>
          <cell r="T55">
            <v>90</v>
          </cell>
          <cell r="U55">
            <v>65</v>
          </cell>
          <cell r="V55">
            <v>40</v>
          </cell>
        </row>
        <row r="56">
          <cell r="N56">
            <v>3000</v>
          </cell>
          <cell r="Q56">
            <v>145</v>
          </cell>
          <cell r="R56">
            <v>180</v>
          </cell>
          <cell r="S56">
            <v>119</v>
          </cell>
          <cell r="T56">
            <v>91</v>
          </cell>
          <cell r="U56">
            <v>65</v>
          </cell>
          <cell r="V56">
            <v>40</v>
          </cell>
        </row>
        <row r="57">
          <cell r="N57">
            <v>3200</v>
          </cell>
          <cell r="Q57">
            <v>160</v>
          </cell>
          <cell r="R57">
            <v>160</v>
          </cell>
          <cell r="S57">
            <v>121</v>
          </cell>
          <cell r="T57">
            <v>92</v>
          </cell>
          <cell r="U57">
            <v>66</v>
          </cell>
          <cell r="V57">
            <v>41</v>
          </cell>
        </row>
        <row r="58">
          <cell r="N58">
            <v>3400</v>
          </cell>
          <cell r="S58">
            <v>124</v>
          </cell>
          <cell r="T58">
            <v>93</v>
          </cell>
          <cell r="U58">
            <v>66</v>
          </cell>
          <cell r="V58">
            <v>41</v>
          </cell>
        </row>
        <row r="59">
          <cell r="N59">
            <v>3600</v>
          </cell>
          <cell r="S59">
            <v>127</v>
          </cell>
          <cell r="T59">
            <v>94</v>
          </cell>
          <cell r="U59">
            <v>67</v>
          </cell>
          <cell r="V59">
            <v>41</v>
          </cell>
        </row>
        <row r="60">
          <cell r="N60">
            <v>3800</v>
          </cell>
          <cell r="S60">
            <v>130</v>
          </cell>
          <cell r="T60">
            <v>96</v>
          </cell>
          <cell r="U60">
            <v>69</v>
          </cell>
          <cell r="V60">
            <v>42</v>
          </cell>
        </row>
        <row r="61">
          <cell r="N61">
            <v>4000</v>
          </cell>
          <cell r="S61">
            <v>134</v>
          </cell>
          <cell r="T61">
            <v>98</v>
          </cell>
          <cell r="U61">
            <v>71</v>
          </cell>
          <cell r="V61">
            <v>43</v>
          </cell>
        </row>
        <row r="62">
          <cell r="N62">
            <v>4200</v>
          </cell>
          <cell r="S62">
            <v>138</v>
          </cell>
          <cell r="T62">
            <v>100</v>
          </cell>
          <cell r="U62">
            <v>73</v>
          </cell>
          <cell r="V62">
            <v>44</v>
          </cell>
        </row>
        <row r="63">
          <cell r="N63">
            <v>4400</v>
          </cell>
          <cell r="S63">
            <v>143</v>
          </cell>
          <cell r="T63">
            <v>104</v>
          </cell>
          <cell r="U63">
            <v>76</v>
          </cell>
          <cell r="V63">
            <v>45</v>
          </cell>
        </row>
        <row r="64">
          <cell r="N64">
            <v>4600</v>
          </cell>
          <cell r="S64">
            <v>150</v>
          </cell>
          <cell r="T64">
            <v>110</v>
          </cell>
          <cell r="U64">
            <v>79</v>
          </cell>
          <cell r="V64">
            <v>46</v>
          </cell>
        </row>
        <row r="65">
          <cell r="N65">
            <v>4800</v>
          </cell>
          <cell r="S65">
            <v>165</v>
          </cell>
          <cell r="T65">
            <v>115</v>
          </cell>
          <cell r="U65">
            <v>83</v>
          </cell>
          <cell r="V65">
            <v>47</v>
          </cell>
        </row>
        <row r="66">
          <cell r="N66">
            <v>5000</v>
          </cell>
          <cell r="S66">
            <v>197</v>
          </cell>
          <cell r="T66">
            <v>125</v>
          </cell>
          <cell r="U66">
            <v>87</v>
          </cell>
          <cell r="V66">
            <v>49</v>
          </cell>
        </row>
        <row r="67">
          <cell r="N67">
            <v>5200</v>
          </cell>
          <cell r="T67">
            <v>135</v>
          </cell>
          <cell r="U67">
            <v>92</v>
          </cell>
          <cell r="V67">
            <v>52</v>
          </cell>
        </row>
        <row r="68">
          <cell r="N68">
            <v>5400</v>
          </cell>
          <cell r="T68">
            <v>150</v>
          </cell>
          <cell r="U68">
            <v>98</v>
          </cell>
          <cell r="V68">
            <v>53</v>
          </cell>
        </row>
        <row r="69">
          <cell r="N69">
            <v>5600</v>
          </cell>
          <cell r="T69">
            <v>190</v>
          </cell>
          <cell r="U69">
            <v>105</v>
          </cell>
          <cell r="V69">
            <v>56</v>
          </cell>
        </row>
        <row r="70">
          <cell r="N70">
            <v>5800</v>
          </cell>
          <cell r="U70">
            <v>117</v>
          </cell>
          <cell r="V70">
            <v>59</v>
          </cell>
        </row>
        <row r="71">
          <cell r="N71">
            <v>6000</v>
          </cell>
          <cell r="U71">
            <v>135</v>
          </cell>
          <cell r="V71">
            <v>62</v>
          </cell>
        </row>
        <row r="72">
          <cell r="N72">
            <v>6200</v>
          </cell>
          <cell r="U72">
            <v>160</v>
          </cell>
          <cell r="V72">
            <v>67</v>
          </cell>
        </row>
        <row r="73">
          <cell r="N73">
            <v>6400</v>
          </cell>
          <cell r="V73">
            <v>72</v>
          </cell>
        </row>
        <row r="74">
          <cell r="N74">
            <v>6500</v>
          </cell>
          <cell r="V74">
            <v>79</v>
          </cell>
        </row>
      </sheetData>
      <sheetData sheetId="2" refreshError="1"/>
      <sheetData sheetId="3" refreshError="1"/>
      <sheetData sheetId="4">
        <row r="16">
          <cell r="C16">
            <v>50</v>
          </cell>
          <cell r="D16">
            <v>41.815256205097718</v>
          </cell>
        </row>
        <row r="17">
          <cell r="B17">
            <v>2200</v>
          </cell>
          <cell r="C17">
            <v>217.13636363636365</v>
          </cell>
          <cell r="D17">
            <v>181.49721886476277</v>
          </cell>
        </row>
        <row r="18">
          <cell r="B18">
            <v>3000</v>
          </cell>
          <cell r="C18">
            <v>159.23333333333332</v>
          </cell>
          <cell r="D18">
            <v>133.09796050082602</v>
          </cell>
        </row>
        <row r="19">
          <cell r="B19">
            <v>4500</v>
          </cell>
          <cell r="C19">
            <v>106.15555555555557</v>
          </cell>
          <cell r="D19">
            <v>88.73197366721736</v>
          </cell>
        </row>
        <row r="20">
          <cell r="B20">
            <v>6000</v>
          </cell>
          <cell r="C20">
            <v>79.61666666666666</v>
          </cell>
          <cell r="D20">
            <v>66.54898025041301</v>
          </cell>
        </row>
        <row r="30">
          <cell r="D30">
            <v>3141.4124483182477</v>
          </cell>
        </row>
        <row r="31">
          <cell r="B31">
            <v>127.10648094497738</v>
          </cell>
        </row>
        <row r="32">
          <cell r="B32">
            <v>151.98577323254781</v>
          </cell>
        </row>
      </sheetData>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view="pageBreakPreview" topLeftCell="A15" zoomScaleNormal="100" zoomScaleSheetLayoutView="100" workbookViewId="0">
      <selection activeCell="J12" sqref="J12"/>
    </sheetView>
  </sheetViews>
  <sheetFormatPr baseColWidth="10" defaultRowHeight="15" x14ac:dyDescent="0.25"/>
  <cols>
    <col min="7" max="7" width="13.42578125" customWidth="1"/>
  </cols>
  <sheetData/>
  <pageMargins left="0.7" right="0.7" top="0.75" bottom="0.75" header="0.3" footer="0.3"/>
  <pageSetup paperSize="9" scale="93" fitToHeight="0" orientation="portrait" r:id="rId1"/>
  <headerFooter>
    <oddHeader>&amp;R&amp;"Arial"&amp;11&amp;O000000&amp;"Arial"&amp;11&amp;O000000&amp;"Arial"&amp;11&amp;O000000&amp;"Arial"&amp;11&amp;O000000&amp;"Arial"&amp;11&amp;O000000&amp;"Arial"&amp;11&amp;O000000&amp;"Arial"&amp;11&amp;O000000&amp;"Arial"&amp;11&amp;O000000&amp;"Arial"&amp;11&amp;O000000&amp;"Arial"&amp;11&amp;O000000&amp;"Arial"&amp;11&amp;O000000&amp;O</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V81"/>
  <sheetViews>
    <sheetView view="pageBreakPreview" zoomScale="85" zoomScaleNormal="85" zoomScaleSheetLayoutView="85" workbookViewId="0">
      <selection activeCell="B20" sqref="B20"/>
    </sheetView>
  </sheetViews>
  <sheetFormatPr baseColWidth="10" defaultColWidth="11.42578125" defaultRowHeight="15" x14ac:dyDescent="0.25"/>
  <cols>
    <col min="1" max="1" width="11.85546875" style="1" customWidth="1"/>
    <col min="2" max="2" width="12.5703125" style="1" customWidth="1"/>
    <col min="3" max="3" width="17.5703125" style="1" customWidth="1"/>
    <col min="4" max="4" width="14.5703125" style="1" customWidth="1"/>
    <col min="5" max="5" width="2.140625" style="1" customWidth="1"/>
    <col min="6" max="6" width="8" style="1" customWidth="1"/>
    <col min="7" max="7" width="13.28515625" style="1" customWidth="1"/>
    <col min="8" max="8" width="9.7109375" style="1" customWidth="1"/>
    <col min="9" max="9" width="12.28515625" style="1" customWidth="1"/>
    <col min="10" max="10" width="2.140625" style="1" customWidth="1"/>
    <col min="11" max="11" width="15.85546875" style="1" customWidth="1"/>
    <col min="12" max="12" width="13.140625" style="1" customWidth="1"/>
    <col min="13" max="13" width="8.28515625" style="1" customWidth="1"/>
    <col min="14" max="14" width="12.140625" style="1" customWidth="1"/>
    <col min="15" max="20" width="11.42578125" style="1"/>
    <col min="21" max="21" width="12.42578125" style="1" customWidth="1"/>
    <col min="22" max="26" width="11.42578125" style="1"/>
    <col min="27" max="27" width="15.7109375" style="1" customWidth="1"/>
    <col min="28" max="16384" width="11.42578125" style="1"/>
  </cols>
  <sheetData>
    <row r="1" spans="1:21" x14ac:dyDescent="0.25">
      <c r="A1" s="301" t="s">
        <v>211</v>
      </c>
      <c r="B1" s="302"/>
      <c r="C1" s="302"/>
      <c r="D1" s="302"/>
      <c r="E1" s="302"/>
      <c r="F1" s="302"/>
      <c r="G1" s="302"/>
      <c r="H1" s="302"/>
      <c r="I1" s="302"/>
      <c r="J1" s="302"/>
      <c r="K1" s="302"/>
      <c r="L1" s="302"/>
      <c r="M1" s="303"/>
    </row>
    <row r="2" spans="1:21" ht="15.75" thickBot="1" x14ac:dyDescent="0.3">
      <c r="A2" s="304"/>
      <c r="B2" s="305"/>
      <c r="C2" s="305"/>
      <c r="D2" s="305"/>
      <c r="E2" s="305"/>
      <c r="F2" s="305"/>
      <c r="G2" s="305"/>
      <c r="H2" s="305"/>
      <c r="I2" s="305"/>
      <c r="J2" s="305"/>
      <c r="K2" s="305"/>
      <c r="L2" s="305"/>
      <c r="M2" s="306"/>
    </row>
    <row r="3" spans="1:21" ht="18" customHeight="1" thickBot="1" x14ac:dyDescent="0.3">
      <c r="A3" s="73" t="s">
        <v>0</v>
      </c>
      <c r="B3" s="74"/>
      <c r="C3" s="74"/>
      <c r="D3" s="74"/>
      <c r="E3" s="74"/>
      <c r="F3" s="74" t="s">
        <v>2</v>
      </c>
      <c r="G3" s="74"/>
      <c r="H3" s="74"/>
      <c r="I3" s="74"/>
      <c r="J3" s="74"/>
      <c r="K3" s="74" t="s">
        <v>156</v>
      </c>
      <c r="L3" s="74"/>
      <c r="M3" s="75"/>
      <c r="Q3" s="307" t="s">
        <v>8</v>
      </c>
      <c r="R3" s="307"/>
    </row>
    <row r="4" spans="1:21" ht="18" customHeight="1" x14ac:dyDescent="0.35">
      <c r="A4" s="151" t="s">
        <v>82</v>
      </c>
      <c r="B4" s="84">
        <v>1300</v>
      </c>
      <c r="C4" s="151" t="s">
        <v>207</v>
      </c>
      <c r="D4" s="85">
        <v>2.8</v>
      </c>
      <c r="E4" s="79"/>
      <c r="F4" s="150" t="s">
        <v>78</v>
      </c>
      <c r="G4" s="5">
        <f>I12</f>
        <v>111.10529621101109</v>
      </c>
      <c r="H4" s="150" t="s">
        <v>80</v>
      </c>
      <c r="I4" s="6">
        <v>202</v>
      </c>
      <c r="J4" s="79"/>
      <c r="K4" s="150" t="s">
        <v>75</v>
      </c>
      <c r="L4" s="252">
        <v>50000</v>
      </c>
      <c r="M4" s="145"/>
      <c r="Q4" s="307"/>
      <c r="R4" s="307"/>
    </row>
    <row r="5" spans="1:21" ht="18" customHeight="1" x14ac:dyDescent="0.35">
      <c r="A5" s="150" t="s">
        <v>1</v>
      </c>
      <c r="B5" s="4">
        <v>2.4</v>
      </c>
      <c r="C5" s="150" t="s">
        <v>77</v>
      </c>
      <c r="D5" s="7">
        <v>1.6</v>
      </c>
      <c r="E5" s="79"/>
      <c r="F5" s="150" t="s">
        <v>79</v>
      </c>
      <c r="G5" s="8">
        <f>G12</f>
        <v>5500</v>
      </c>
      <c r="H5" s="150" t="s">
        <v>81</v>
      </c>
      <c r="I5" s="8">
        <f>n_max</f>
        <v>6100</v>
      </c>
      <c r="J5" s="79"/>
      <c r="K5" s="150" t="s">
        <v>76</v>
      </c>
      <c r="L5" s="252">
        <v>60000</v>
      </c>
      <c r="M5" s="142"/>
      <c r="R5" s="18" t="s">
        <v>9</v>
      </c>
      <c r="S5" s="22">
        <f>lh</f>
        <v>1.6</v>
      </c>
    </row>
    <row r="6" spans="1:21" ht="18" customHeight="1" thickBot="1" x14ac:dyDescent="0.4">
      <c r="A6" s="150" t="s">
        <v>83</v>
      </c>
      <c r="B6" s="50">
        <v>0.32</v>
      </c>
      <c r="C6" s="150" t="s">
        <v>208</v>
      </c>
      <c r="D6" s="7">
        <v>0.6</v>
      </c>
      <c r="E6" s="79"/>
      <c r="F6" s="10"/>
      <c r="G6" s="65"/>
      <c r="H6" s="10"/>
      <c r="I6" s="11"/>
      <c r="J6" s="79"/>
      <c r="K6" s="229" t="s">
        <v>157</v>
      </c>
      <c r="L6" s="230">
        <v>1.06</v>
      </c>
      <c r="M6" s="113"/>
      <c r="R6" s="18" t="s">
        <v>10</v>
      </c>
      <c r="S6" s="22">
        <f>D4-S5</f>
        <v>1.1999999999999997</v>
      </c>
    </row>
    <row r="7" spans="1:21" ht="18" customHeight="1" thickBot="1" x14ac:dyDescent="0.4">
      <c r="A7" s="150" t="s">
        <v>84</v>
      </c>
      <c r="B7" s="9">
        <v>0.01</v>
      </c>
      <c r="C7" s="150" t="s">
        <v>155</v>
      </c>
      <c r="D7" s="7">
        <v>1.6</v>
      </c>
      <c r="E7" s="79"/>
      <c r="F7" s="94"/>
      <c r="G7" s="70" t="s">
        <v>194</v>
      </c>
      <c r="H7" s="95"/>
      <c r="I7" s="96"/>
      <c r="J7" s="254"/>
      <c r="K7" s="78"/>
      <c r="L7" s="78"/>
      <c r="M7" s="97"/>
      <c r="R7" s="18" t="s">
        <v>11</v>
      </c>
      <c r="S7" s="23">
        <f>hs</f>
        <v>0.6</v>
      </c>
    </row>
    <row r="8" spans="1:21" ht="18" customHeight="1" x14ac:dyDescent="0.35">
      <c r="A8" s="150" t="s">
        <v>85</v>
      </c>
      <c r="B8" s="9">
        <v>0.3</v>
      </c>
      <c r="C8" s="253"/>
      <c r="D8" s="7"/>
      <c r="E8" s="79"/>
      <c r="F8" s="3" t="s">
        <v>5</v>
      </c>
      <c r="G8" s="255">
        <v>900</v>
      </c>
      <c r="H8" s="256">
        <v>120</v>
      </c>
      <c r="I8" s="12">
        <f t="shared" ref="I8:I13" si="0">H8*G8/9554</f>
        <v>11.304165794431652</v>
      </c>
      <c r="J8" s="79"/>
      <c r="K8" s="143"/>
      <c r="L8" s="93"/>
      <c r="M8" s="46"/>
      <c r="R8" s="18"/>
      <c r="S8" s="24"/>
      <c r="U8" s="1">
        <f>1000/(2*PI()/60)</f>
        <v>9549.2965855137209</v>
      </c>
    </row>
    <row r="9" spans="1:21" ht="18" customHeight="1" x14ac:dyDescent="0.35">
      <c r="A9" s="150"/>
      <c r="B9" s="252"/>
      <c r="C9" s="3"/>
      <c r="D9" s="13"/>
      <c r="E9" s="79"/>
      <c r="F9" s="3" t="s">
        <v>5</v>
      </c>
      <c r="G9" s="255">
        <v>1500</v>
      </c>
      <c r="H9" s="256">
        <v>165</v>
      </c>
      <c r="I9" s="12">
        <f t="shared" si="0"/>
        <v>25.905379945572534</v>
      </c>
      <c r="J9" s="79"/>
      <c r="K9" s="144"/>
      <c r="L9" s="257"/>
      <c r="M9" s="13"/>
      <c r="R9" s="2" t="s">
        <v>13</v>
      </c>
      <c r="S9" s="25">
        <v>9.81</v>
      </c>
    </row>
    <row r="10" spans="1:21" ht="18" customHeight="1" thickBot="1" x14ac:dyDescent="0.4">
      <c r="A10" s="150"/>
      <c r="B10" s="252"/>
      <c r="C10" s="3"/>
      <c r="D10" s="273"/>
      <c r="E10" s="79"/>
      <c r="F10" s="3" t="s">
        <v>5</v>
      </c>
      <c r="G10" s="255">
        <v>3000</v>
      </c>
      <c r="H10" s="256">
        <v>198</v>
      </c>
      <c r="I10" s="12">
        <f t="shared" si="0"/>
        <v>62.172911869374083</v>
      </c>
      <c r="J10" s="79"/>
      <c r="K10" s="144"/>
      <c r="L10" s="257"/>
      <c r="M10" s="13"/>
    </row>
    <row r="11" spans="1:21" ht="21" customHeight="1" thickBot="1" x14ac:dyDescent="0.4">
      <c r="A11" s="114" t="s">
        <v>59</v>
      </c>
      <c r="B11" s="71"/>
      <c r="C11" s="71"/>
      <c r="D11" s="71"/>
      <c r="E11" s="79"/>
      <c r="F11" s="3" t="s">
        <v>5</v>
      </c>
      <c r="G11" s="255">
        <v>4800</v>
      </c>
      <c r="H11" s="256">
        <v>200</v>
      </c>
      <c r="I11" s="12">
        <f t="shared" si="0"/>
        <v>100.48147372828134</v>
      </c>
      <c r="J11" s="79"/>
      <c r="K11" s="144"/>
      <c r="L11" s="257"/>
      <c r="M11" s="13"/>
      <c r="Q11" s="1" t="s">
        <v>18</v>
      </c>
    </row>
    <row r="12" spans="1:21" ht="18" customHeight="1" x14ac:dyDescent="0.35">
      <c r="A12" s="152" t="s">
        <v>86</v>
      </c>
      <c r="B12" s="123">
        <f>I_1</f>
        <v>4.8006610945993069</v>
      </c>
      <c r="C12" s="47" t="s">
        <v>72</v>
      </c>
      <c r="D12" s="46">
        <v>0.94</v>
      </c>
      <c r="E12" s="79"/>
      <c r="F12" s="3" t="s">
        <v>5</v>
      </c>
      <c r="G12" s="255">
        <v>5500</v>
      </c>
      <c r="H12" s="256">
        <v>193</v>
      </c>
      <c r="I12" s="12">
        <f t="shared" si="0"/>
        <v>111.10529621101109</v>
      </c>
      <c r="J12" s="79"/>
      <c r="K12" s="144"/>
      <c r="L12" s="257"/>
      <c r="M12" s="13"/>
    </row>
    <row r="13" spans="1:21" ht="18" customHeight="1" thickBot="1" x14ac:dyDescent="0.4">
      <c r="A13" s="189" t="s">
        <v>87</v>
      </c>
      <c r="B13" s="190">
        <f>I_2</f>
        <v>2.4871473868253782</v>
      </c>
      <c r="C13" s="14"/>
      <c r="D13" s="149"/>
      <c r="E13" s="79"/>
      <c r="F13" s="10" t="s">
        <v>39</v>
      </c>
      <c r="G13" s="15">
        <v>6100</v>
      </c>
      <c r="H13" s="16">
        <v>160</v>
      </c>
      <c r="I13" s="17">
        <f t="shared" si="0"/>
        <v>102.15616495708603</v>
      </c>
      <c r="J13" s="79"/>
      <c r="K13" s="3" t="s">
        <v>173</v>
      </c>
      <c r="L13" s="256"/>
      <c r="M13" s="12"/>
    </row>
    <row r="14" spans="1:21" ht="16.5" customHeight="1" thickBot="1" x14ac:dyDescent="0.4">
      <c r="A14" s="189" t="s">
        <v>88</v>
      </c>
      <c r="B14" s="190">
        <f>I_3</f>
        <v>1.4818349602649705</v>
      </c>
      <c r="C14" s="14"/>
      <c r="D14" s="13"/>
      <c r="E14" s="254"/>
      <c r="F14" s="74" t="s">
        <v>3</v>
      </c>
      <c r="G14" s="74"/>
      <c r="H14" s="74"/>
      <c r="I14" s="74"/>
      <c r="J14" s="79"/>
      <c r="K14" s="3"/>
      <c r="L14" s="256"/>
      <c r="M14" s="12"/>
    </row>
    <row r="15" spans="1:21" ht="16.5" customHeight="1" x14ac:dyDescent="0.35">
      <c r="A15" s="189" t="s">
        <v>89</v>
      </c>
      <c r="B15" s="190">
        <f>I_4</f>
        <v>1.015303753311626</v>
      </c>
      <c r="C15" s="14" t="s">
        <v>68</v>
      </c>
      <c r="D15" s="130">
        <v>2.5</v>
      </c>
      <c r="E15" s="254"/>
      <c r="F15" s="83" t="s">
        <v>6</v>
      </c>
      <c r="G15" s="90">
        <v>1.18</v>
      </c>
      <c r="H15" s="91" t="s">
        <v>7</v>
      </c>
      <c r="I15" s="92">
        <v>0.8</v>
      </c>
      <c r="J15" s="79"/>
      <c r="M15" s="45"/>
    </row>
    <row r="16" spans="1:21" ht="16.5" customHeight="1" thickBot="1" x14ac:dyDescent="0.4">
      <c r="A16" s="189" t="s">
        <v>90</v>
      </c>
      <c r="B16" s="190">
        <v>0.8</v>
      </c>
      <c r="C16" s="14" t="s">
        <v>165</v>
      </c>
      <c r="D16" s="130">
        <v>0.1</v>
      </c>
      <c r="E16" s="254"/>
      <c r="F16" s="10" t="s">
        <v>4</v>
      </c>
      <c r="G16" s="20">
        <v>40</v>
      </c>
      <c r="H16" s="21"/>
      <c r="I16" s="19"/>
      <c r="J16" s="89"/>
      <c r="M16" s="45"/>
    </row>
    <row r="17" spans="1:21" ht="16.5" customHeight="1" x14ac:dyDescent="0.35">
      <c r="A17" s="191"/>
      <c r="B17" s="190"/>
      <c r="C17" s="14" t="s">
        <v>67</v>
      </c>
      <c r="D17" s="130">
        <v>0.3</v>
      </c>
      <c r="E17" s="254"/>
      <c r="J17" s="258"/>
      <c r="M17" s="45"/>
    </row>
    <row r="18" spans="1:21" ht="16.5" customHeight="1" x14ac:dyDescent="0.35">
      <c r="A18" s="150" t="s">
        <v>73</v>
      </c>
      <c r="B18" s="13" cm="1">
        <f t="array" ref="B18">I_1/I_5</f>
        <v>6.0008263682491334</v>
      </c>
      <c r="C18" s="14" t="s">
        <v>163</v>
      </c>
      <c r="D18" s="130">
        <v>0.1</v>
      </c>
      <c r="E18" s="254"/>
      <c r="F18" s="308"/>
      <c r="G18" s="308"/>
      <c r="H18" s="308"/>
      <c r="I18" s="308"/>
      <c r="J18" s="308"/>
      <c r="K18" s="308"/>
      <c r="L18" s="308"/>
      <c r="M18" s="309"/>
    </row>
    <row r="19" spans="1:21" ht="18" customHeight="1" x14ac:dyDescent="0.35">
      <c r="A19" s="150" t="s">
        <v>74</v>
      </c>
      <c r="B19" s="13">
        <v>3.46</v>
      </c>
      <c r="C19" s="14" t="s">
        <v>164</v>
      </c>
      <c r="D19" s="130">
        <v>0.15</v>
      </c>
      <c r="E19" s="254"/>
      <c r="F19" s="308"/>
      <c r="G19" s="308"/>
      <c r="H19" s="308"/>
      <c r="I19" s="308"/>
      <c r="J19" s="308"/>
      <c r="K19" s="308"/>
      <c r="L19" s="308"/>
      <c r="M19" s="309"/>
    </row>
    <row r="20" spans="1:21" ht="18" customHeight="1" thickBot="1" x14ac:dyDescent="0.3">
      <c r="A20" s="76"/>
      <c r="B20" s="77"/>
      <c r="C20" s="10"/>
      <c r="D20" s="11"/>
      <c r="E20" s="98"/>
      <c r="F20" s="86"/>
      <c r="G20" s="86"/>
      <c r="H20" s="86"/>
      <c r="I20" s="86"/>
      <c r="J20" s="99"/>
      <c r="K20" s="146"/>
      <c r="L20" s="147"/>
      <c r="M20" s="148"/>
    </row>
    <row r="22" spans="1:21" ht="15" customHeight="1" x14ac:dyDescent="0.25"/>
    <row r="25" spans="1:21" x14ac:dyDescent="0.25">
      <c r="T25" s="2" t="s">
        <v>22</v>
      </c>
      <c r="U25" s="1">
        <f>(2*m_F_normal*g_Erdbeschl.*fr)/(cw*A*roh_Luft)</f>
        <v>300.21186440677968</v>
      </c>
    </row>
    <row r="28" spans="1:21" x14ac:dyDescent="0.25">
      <c r="T28" s="2" t="s">
        <v>21</v>
      </c>
      <c r="U28" s="1" t="e">
        <f>-(2*P_nenn*1000*eta_A*eta_G)/(cw*A*roh_Luft)</f>
        <v>#NAME?</v>
      </c>
    </row>
    <row r="32" spans="1:21" ht="18" x14ac:dyDescent="0.35">
      <c r="T32" s="2" t="s">
        <v>19</v>
      </c>
      <c r="U32" s="1" t="e">
        <f>(-U28/2+SQRT((U28/2)^2+(U25/3)^3))^(1/3)</f>
        <v>#NAME?</v>
      </c>
    </row>
    <row r="36" spans="14:48" ht="18" x14ac:dyDescent="0.35">
      <c r="T36" s="2" t="s">
        <v>20</v>
      </c>
      <c r="U36" s="1" t="e">
        <f>(-U28/2-SQRT((U28/2)^2+(U25/3)^3))^(1/3)</f>
        <v>#NAME?</v>
      </c>
    </row>
    <row r="39" spans="14:48" x14ac:dyDescent="0.25">
      <c r="T39" s="2" t="s">
        <v>16</v>
      </c>
      <c r="U39" s="54" t="e">
        <f>U32+U36</f>
        <v>#NAME?</v>
      </c>
    </row>
    <row r="40" spans="14:48" x14ac:dyDescent="0.25">
      <c r="U40" s="108" t="e">
        <f>U39*3.6</f>
        <v>#NAME?</v>
      </c>
    </row>
    <row r="44" spans="14:48" ht="15.75" x14ac:dyDescent="0.25">
      <c r="O44" s="1">
        <v>200</v>
      </c>
      <c r="P44" s="1" t="s">
        <v>23</v>
      </c>
      <c r="Q44" s="1">
        <v>250</v>
      </c>
      <c r="R44" s="1" t="s">
        <v>24</v>
      </c>
      <c r="AB44" s="26">
        <v>111</v>
      </c>
      <c r="AC44" s="26">
        <v>100</v>
      </c>
      <c r="AD44" s="26">
        <v>90</v>
      </c>
      <c r="AE44" s="26">
        <v>80</v>
      </c>
      <c r="AF44" s="26">
        <v>70</v>
      </c>
      <c r="AG44" s="26">
        <v>60</v>
      </c>
      <c r="AH44" s="26">
        <v>50</v>
      </c>
      <c r="AI44" s="26">
        <v>40</v>
      </c>
      <c r="AJ44" s="26">
        <v>30</v>
      </c>
      <c r="AK44" s="26">
        <v>20</v>
      </c>
      <c r="AL44" s="26">
        <v>10</v>
      </c>
      <c r="AM44" s="26">
        <v>5</v>
      </c>
    </row>
    <row r="45" spans="14:48" ht="15.75" x14ac:dyDescent="0.25">
      <c r="N45" s="27">
        <v>800</v>
      </c>
      <c r="T45" s="1">
        <v>120</v>
      </c>
      <c r="U45" s="1">
        <v>85</v>
      </c>
      <c r="V45" s="1">
        <v>52</v>
      </c>
      <c r="W45" s="1">
        <f>T45+5</f>
        <v>125</v>
      </c>
      <c r="AA45" s="27">
        <v>800</v>
      </c>
      <c r="AB45" s="28">
        <f>AB$44/$AA45*9554</f>
        <v>1325.6175000000001</v>
      </c>
      <c r="AC45" s="28">
        <f t="shared" ref="AC45:AM60" si="1">AC$44/$AA45*9554</f>
        <v>1194.25</v>
      </c>
      <c r="AD45" s="28">
        <f t="shared" si="1"/>
        <v>1074.825</v>
      </c>
      <c r="AE45" s="28">
        <f t="shared" si="1"/>
        <v>955.40000000000009</v>
      </c>
      <c r="AF45" s="28">
        <f t="shared" si="1"/>
        <v>835.97499999999991</v>
      </c>
      <c r="AG45" s="28">
        <f t="shared" si="1"/>
        <v>716.55</v>
      </c>
      <c r="AH45" s="28">
        <f t="shared" si="1"/>
        <v>597.125</v>
      </c>
      <c r="AI45" s="28">
        <f t="shared" si="1"/>
        <v>477.70000000000005</v>
      </c>
      <c r="AJ45" s="28">
        <f t="shared" si="1"/>
        <v>358.27499999999998</v>
      </c>
      <c r="AK45" s="28">
        <f t="shared" si="1"/>
        <v>238.85000000000002</v>
      </c>
      <c r="AL45" s="28">
        <f t="shared" si="1"/>
        <v>119.42500000000001</v>
      </c>
      <c r="AM45" s="28">
        <f t="shared" si="1"/>
        <v>59.712500000000006</v>
      </c>
      <c r="AS45" s="1">
        <v>120</v>
      </c>
      <c r="AT45" s="1">
        <v>85</v>
      </c>
      <c r="AU45" s="1">
        <v>52</v>
      </c>
      <c r="AV45" s="1">
        <f>AS45+5</f>
        <v>125</v>
      </c>
    </row>
    <row r="46" spans="14:48" ht="15.75" x14ac:dyDescent="0.25">
      <c r="N46" s="27">
        <v>1000</v>
      </c>
      <c r="T46" s="1">
        <v>110</v>
      </c>
      <c r="U46" s="1">
        <v>79</v>
      </c>
      <c r="V46" s="1">
        <v>50</v>
      </c>
      <c r="W46" s="1">
        <f t="shared" ref="W46:W69" si="2">T46+5</f>
        <v>115</v>
      </c>
      <c r="AA46" s="27">
        <v>1000</v>
      </c>
      <c r="AB46" s="28">
        <f t="shared" ref="AB46:AM61" si="3">AB$44/$AA46*9554</f>
        <v>1060.4939999999999</v>
      </c>
      <c r="AC46" s="28">
        <f t="shared" si="1"/>
        <v>955.40000000000009</v>
      </c>
      <c r="AD46" s="28">
        <f t="shared" si="1"/>
        <v>859.86</v>
      </c>
      <c r="AE46" s="28">
        <f t="shared" si="1"/>
        <v>764.32</v>
      </c>
      <c r="AF46" s="28">
        <f t="shared" si="1"/>
        <v>668.78000000000009</v>
      </c>
      <c r="AG46" s="28">
        <f t="shared" si="1"/>
        <v>573.24</v>
      </c>
      <c r="AH46" s="28">
        <f t="shared" si="1"/>
        <v>477.70000000000005</v>
      </c>
      <c r="AI46" s="28">
        <f t="shared" si="1"/>
        <v>382.16</v>
      </c>
      <c r="AJ46" s="28">
        <f t="shared" si="1"/>
        <v>286.62</v>
      </c>
      <c r="AK46" s="28">
        <f t="shared" si="1"/>
        <v>191.08</v>
      </c>
      <c r="AL46" s="28">
        <f t="shared" si="1"/>
        <v>95.54</v>
      </c>
      <c r="AM46" s="28">
        <f t="shared" si="1"/>
        <v>47.77</v>
      </c>
      <c r="AS46" s="1">
        <v>110</v>
      </c>
      <c r="AT46" s="1">
        <v>79</v>
      </c>
      <c r="AU46" s="1">
        <v>50</v>
      </c>
      <c r="AV46" s="1">
        <f t="shared" ref="AV46:AV69" si="4">AS46+5</f>
        <v>115</v>
      </c>
    </row>
    <row r="47" spans="14:48" ht="15.75" x14ac:dyDescent="0.25">
      <c r="N47" s="27">
        <v>1200</v>
      </c>
      <c r="T47" s="1">
        <v>105</v>
      </c>
      <c r="U47" s="1">
        <v>75</v>
      </c>
      <c r="V47" s="1">
        <v>47</v>
      </c>
      <c r="W47" s="1">
        <f t="shared" si="2"/>
        <v>110</v>
      </c>
      <c r="AA47" s="27">
        <v>1200</v>
      </c>
      <c r="AB47" s="28">
        <f t="shared" si="3"/>
        <v>883.745</v>
      </c>
      <c r="AC47" s="28">
        <f t="shared" si="1"/>
        <v>796.16666666666663</v>
      </c>
      <c r="AD47" s="28">
        <f t="shared" si="1"/>
        <v>716.55</v>
      </c>
      <c r="AE47" s="28">
        <f t="shared" si="1"/>
        <v>636.93333333333328</v>
      </c>
      <c r="AF47" s="28">
        <f t="shared" si="1"/>
        <v>557.31666666666672</v>
      </c>
      <c r="AG47" s="28">
        <f t="shared" si="1"/>
        <v>477.70000000000005</v>
      </c>
      <c r="AH47" s="28">
        <f t="shared" si="1"/>
        <v>398.08333333333331</v>
      </c>
      <c r="AI47" s="28">
        <f t="shared" si="1"/>
        <v>318.46666666666664</v>
      </c>
      <c r="AJ47" s="28">
        <f t="shared" si="1"/>
        <v>238.85000000000002</v>
      </c>
      <c r="AK47" s="28">
        <f t="shared" si="1"/>
        <v>159.23333333333332</v>
      </c>
      <c r="AL47" s="28">
        <f t="shared" si="1"/>
        <v>79.61666666666666</v>
      </c>
      <c r="AM47" s="28">
        <f t="shared" si="1"/>
        <v>39.80833333333333</v>
      </c>
      <c r="AR47" s="1">
        <v>150</v>
      </c>
      <c r="AS47" s="1">
        <v>105</v>
      </c>
      <c r="AT47" s="1">
        <v>75</v>
      </c>
      <c r="AU47" s="1">
        <v>47</v>
      </c>
      <c r="AV47" s="1">
        <f t="shared" si="4"/>
        <v>110</v>
      </c>
    </row>
    <row r="48" spans="14:48" ht="15.75" x14ac:dyDescent="0.25">
      <c r="N48" s="27">
        <v>1400</v>
      </c>
      <c r="S48" s="1">
        <v>160</v>
      </c>
      <c r="T48" s="1">
        <v>102</v>
      </c>
      <c r="U48" s="1">
        <v>72</v>
      </c>
      <c r="V48" s="1">
        <v>46</v>
      </c>
      <c r="W48" s="1">
        <f t="shared" si="2"/>
        <v>107</v>
      </c>
      <c r="AA48" s="27">
        <v>1400</v>
      </c>
      <c r="AB48" s="28">
        <f t="shared" si="3"/>
        <v>757.49571428571426</v>
      </c>
      <c r="AC48" s="28">
        <f t="shared" si="1"/>
        <v>682.42857142857144</v>
      </c>
      <c r="AD48" s="28">
        <f t="shared" si="1"/>
        <v>614.1857142857142</v>
      </c>
      <c r="AE48" s="28">
        <f t="shared" si="1"/>
        <v>545.94285714285718</v>
      </c>
      <c r="AF48" s="28">
        <f t="shared" si="1"/>
        <v>477.70000000000005</v>
      </c>
      <c r="AG48" s="28">
        <f t="shared" si="1"/>
        <v>409.45714285714286</v>
      </c>
      <c r="AH48" s="28">
        <f t="shared" si="1"/>
        <v>341.21428571428572</v>
      </c>
      <c r="AI48" s="28">
        <f t="shared" si="1"/>
        <v>272.97142857142859</v>
      </c>
      <c r="AJ48" s="28">
        <f t="shared" si="1"/>
        <v>204.72857142857143</v>
      </c>
      <c r="AK48" s="28">
        <f t="shared" si="1"/>
        <v>136.48571428571429</v>
      </c>
      <c r="AL48" s="28">
        <f t="shared" si="1"/>
        <v>68.242857142857147</v>
      </c>
      <c r="AM48" s="28">
        <f t="shared" si="1"/>
        <v>34.121428571428574</v>
      </c>
      <c r="AR48" s="1">
        <v>135</v>
      </c>
      <c r="AS48" s="1">
        <v>102</v>
      </c>
      <c r="AT48" s="1">
        <v>72</v>
      </c>
      <c r="AU48" s="1">
        <v>46</v>
      </c>
      <c r="AV48" s="1">
        <f t="shared" si="4"/>
        <v>107</v>
      </c>
    </row>
    <row r="49" spans="14:48" ht="15.75" x14ac:dyDescent="0.25">
      <c r="N49" s="27">
        <v>1600</v>
      </c>
      <c r="S49" s="1">
        <v>132</v>
      </c>
      <c r="T49" s="1">
        <v>99</v>
      </c>
      <c r="U49" s="1">
        <v>71</v>
      </c>
      <c r="V49" s="1">
        <v>45</v>
      </c>
      <c r="W49" s="1">
        <f t="shared" si="2"/>
        <v>104</v>
      </c>
      <c r="AA49" s="27">
        <v>1600</v>
      </c>
      <c r="AB49" s="28">
        <f t="shared" si="3"/>
        <v>662.80875000000003</v>
      </c>
      <c r="AC49" s="28">
        <f t="shared" si="1"/>
        <v>597.125</v>
      </c>
      <c r="AD49" s="28">
        <f t="shared" si="1"/>
        <v>537.41250000000002</v>
      </c>
      <c r="AE49" s="28">
        <f t="shared" si="1"/>
        <v>477.70000000000005</v>
      </c>
      <c r="AF49" s="28">
        <f t="shared" si="1"/>
        <v>417.98749999999995</v>
      </c>
      <c r="AG49" s="28">
        <f t="shared" si="1"/>
        <v>358.27499999999998</v>
      </c>
      <c r="AH49" s="28">
        <f t="shared" si="1"/>
        <v>298.5625</v>
      </c>
      <c r="AI49" s="28">
        <f t="shared" si="1"/>
        <v>238.85000000000002</v>
      </c>
      <c r="AJ49" s="28">
        <f t="shared" si="1"/>
        <v>179.13749999999999</v>
      </c>
      <c r="AK49" s="28">
        <f t="shared" si="1"/>
        <v>119.42500000000001</v>
      </c>
      <c r="AL49" s="28">
        <f t="shared" si="1"/>
        <v>59.712500000000006</v>
      </c>
      <c r="AM49" s="28">
        <f t="shared" si="1"/>
        <v>29.856250000000003</v>
      </c>
      <c r="AR49" s="1">
        <v>125</v>
      </c>
      <c r="AS49" s="1">
        <v>99</v>
      </c>
      <c r="AT49" s="1">
        <v>71</v>
      </c>
      <c r="AU49" s="1">
        <v>45</v>
      </c>
      <c r="AV49" s="1">
        <f t="shared" si="4"/>
        <v>104</v>
      </c>
    </row>
    <row r="50" spans="14:48" ht="15.75" x14ac:dyDescent="0.25">
      <c r="N50" s="27">
        <v>1800</v>
      </c>
      <c r="Q50" s="1">
        <v>150</v>
      </c>
      <c r="R50" s="1">
        <v>150</v>
      </c>
      <c r="S50" s="1">
        <v>124</v>
      </c>
      <c r="T50" s="1">
        <v>97</v>
      </c>
      <c r="U50" s="1">
        <v>70</v>
      </c>
      <c r="V50" s="1">
        <v>44</v>
      </c>
      <c r="W50" s="1">
        <f t="shared" si="2"/>
        <v>102</v>
      </c>
      <c r="AA50" s="27">
        <v>1800</v>
      </c>
      <c r="AB50" s="28">
        <f t="shared" si="3"/>
        <v>589.1633333333333</v>
      </c>
      <c r="AC50" s="28">
        <f t="shared" si="1"/>
        <v>530.77777777777771</v>
      </c>
      <c r="AD50" s="28">
        <f t="shared" si="1"/>
        <v>477.70000000000005</v>
      </c>
      <c r="AE50" s="28">
        <f t="shared" si="1"/>
        <v>424.62222222222226</v>
      </c>
      <c r="AF50" s="28">
        <f t="shared" si="1"/>
        <v>371.54444444444442</v>
      </c>
      <c r="AG50" s="28">
        <f t="shared" si="1"/>
        <v>318.46666666666664</v>
      </c>
      <c r="AH50" s="28">
        <f t="shared" si="1"/>
        <v>265.38888888888886</v>
      </c>
      <c r="AI50" s="28">
        <f t="shared" si="1"/>
        <v>212.31111111111113</v>
      </c>
      <c r="AJ50" s="28">
        <f t="shared" si="1"/>
        <v>159.23333333333332</v>
      </c>
      <c r="AK50" s="28">
        <f t="shared" si="1"/>
        <v>106.15555555555557</v>
      </c>
      <c r="AL50" s="28">
        <f t="shared" si="1"/>
        <v>53.077777777777783</v>
      </c>
      <c r="AM50" s="28">
        <f t="shared" si="1"/>
        <v>26.538888888888891</v>
      </c>
      <c r="AP50" s="1">
        <v>162</v>
      </c>
      <c r="AQ50" s="1">
        <v>162</v>
      </c>
      <c r="AR50" s="1">
        <v>120</v>
      </c>
      <c r="AS50" s="1">
        <v>97</v>
      </c>
      <c r="AT50" s="1">
        <v>70</v>
      </c>
      <c r="AU50" s="1">
        <v>44</v>
      </c>
      <c r="AV50" s="1">
        <f t="shared" si="4"/>
        <v>102</v>
      </c>
    </row>
    <row r="51" spans="14:48" ht="15.75" x14ac:dyDescent="0.25">
      <c r="N51" s="27">
        <v>2000</v>
      </c>
      <c r="Q51" s="1">
        <v>140</v>
      </c>
      <c r="R51" s="1">
        <v>170</v>
      </c>
      <c r="S51" s="1">
        <v>121</v>
      </c>
      <c r="T51" s="1">
        <v>95</v>
      </c>
      <c r="U51" s="1">
        <v>69</v>
      </c>
      <c r="V51" s="1">
        <v>43</v>
      </c>
      <c r="W51" s="1">
        <f t="shared" si="2"/>
        <v>100</v>
      </c>
      <c r="AA51" s="27">
        <v>2000</v>
      </c>
      <c r="AB51" s="28">
        <f t="shared" si="3"/>
        <v>530.24699999999996</v>
      </c>
      <c r="AC51" s="28">
        <f t="shared" si="1"/>
        <v>477.70000000000005</v>
      </c>
      <c r="AD51" s="28">
        <f t="shared" si="1"/>
        <v>429.93</v>
      </c>
      <c r="AE51" s="28">
        <f t="shared" si="1"/>
        <v>382.16</v>
      </c>
      <c r="AF51" s="28">
        <f t="shared" si="1"/>
        <v>334.39000000000004</v>
      </c>
      <c r="AG51" s="28">
        <f t="shared" si="1"/>
        <v>286.62</v>
      </c>
      <c r="AH51" s="28">
        <f t="shared" si="1"/>
        <v>238.85000000000002</v>
      </c>
      <c r="AI51" s="28">
        <f t="shared" si="1"/>
        <v>191.08</v>
      </c>
      <c r="AJ51" s="28">
        <f t="shared" si="1"/>
        <v>143.31</v>
      </c>
      <c r="AK51" s="28">
        <f t="shared" si="1"/>
        <v>95.54</v>
      </c>
      <c r="AL51" s="28">
        <f t="shared" si="1"/>
        <v>47.77</v>
      </c>
      <c r="AM51" s="28">
        <f t="shared" si="1"/>
        <v>23.885000000000002</v>
      </c>
      <c r="AP51" s="1">
        <v>148</v>
      </c>
      <c r="AQ51" s="1">
        <v>178</v>
      </c>
      <c r="AR51" s="1">
        <v>117</v>
      </c>
      <c r="AS51" s="1">
        <v>95</v>
      </c>
      <c r="AT51" s="1">
        <v>69</v>
      </c>
      <c r="AU51" s="1">
        <v>43</v>
      </c>
      <c r="AV51" s="1">
        <f t="shared" si="4"/>
        <v>100</v>
      </c>
    </row>
    <row r="52" spans="14:48" ht="15.75" x14ac:dyDescent="0.25">
      <c r="N52" s="27">
        <v>2200</v>
      </c>
      <c r="O52" s="1">
        <v>170</v>
      </c>
      <c r="P52" s="1">
        <v>170</v>
      </c>
      <c r="Q52" s="1">
        <v>134</v>
      </c>
      <c r="R52" s="1">
        <v>182</v>
      </c>
      <c r="S52" s="1">
        <v>119</v>
      </c>
      <c r="T52" s="1">
        <v>93</v>
      </c>
      <c r="U52" s="1">
        <v>68</v>
      </c>
      <c r="V52" s="1">
        <v>42</v>
      </c>
      <c r="W52" s="1">
        <f t="shared" si="2"/>
        <v>98</v>
      </c>
      <c r="AA52" s="27">
        <v>2200</v>
      </c>
      <c r="AB52" s="28">
        <f t="shared" si="3"/>
        <v>482.04272727272723</v>
      </c>
      <c r="AC52" s="28">
        <f t="shared" si="1"/>
        <v>434.27272727272731</v>
      </c>
      <c r="AD52" s="28">
        <f t="shared" si="1"/>
        <v>390.84545454545452</v>
      </c>
      <c r="AE52" s="28">
        <f t="shared" si="1"/>
        <v>347.41818181818178</v>
      </c>
      <c r="AF52" s="28">
        <f t="shared" si="1"/>
        <v>303.99090909090904</v>
      </c>
      <c r="AG52" s="28">
        <f t="shared" si="1"/>
        <v>260.56363636363636</v>
      </c>
      <c r="AH52" s="28">
        <f t="shared" si="1"/>
        <v>217.13636363636365</v>
      </c>
      <c r="AI52" s="28">
        <f t="shared" si="1"/>
        <v>173.70909090909089</v>
      </c>
      <c r="AJ52" s="28">
        <f t="shared" si="1"/>
        <v>130.28181818181818</v>
      </c>
      <c r="AK52" s="28">
        <f t="shared" si="1"/>
        <v>86.854545454545445</v>
      </c>
      <c r="AL52" s="28">
        <f t="shared" si="1"/>
        <v>43.427272727272722</v>
      </c>
      <c r="AM52" s="28">
        <f t="shared" si="1"/>
        <v>21.713636363636361</v>
      </c>
      <c r="AN52" s="1">
        <v>170</v>
      </c>
      <c r="AO52" s="1">
        <v>170</v>
      </c>
      <c r="AP52" s="1">
        <v>142</v>
      </c>
      <c r="AQ52" s="1">
        <v>182</v>
      </c>
      <c r="AR52" s="1">
        <v>115</v>
      </c>
      <c r="AS52" s="1">
        <v>93</v>
      </c>
      <c r="AT52" s="1">
        <v>68</v>
      </c>
      <c r="AU52" s="1">
        <v>42</v>
      </c>
      <c r="AV52" s="1">
        <f t="shared" si="4"/>
        <v>98</v>
      </c>
    </row>
    <row r="53" spans="14:48" ht="15.75" x14ac:dyDescent="0.25">
      <c r="N53" s="27">
        <v>2400</v>
      </c>
      <c r="O53" s="1">
        <v>165</v>
      </c>
      <c r="P53" s="1">
        <v>175</v>
      </c>
      <c r="Q53" s="1">
        <v>133</v>
      </c>
      <c r="R53" s="1">
        <v>187</v>
      </c>
      <c r="S53" s="1">
        <v>118</v>
      </c>
      <c r="T53" s="1">
        <v>91</v>
      </c>
      <c r="U53" s="1">
        <v>67</v>
      </c>
      <c r="V53" s="1">
        <v>41</v>
      </c>
      <c r="W53" s="1">
        <f t="shared" si="2"/>
        <v>96</v>
      </c>
      <c r="AA53" s="27">
        <v>2400</v>
      </c>
      <c r="AB53" s="28">
        <f t="shared" si="3"/>
        <v>441.8725</v>
      </c>
      <c r="AC53" s="28">
        <f t="shared" si="1"/>
        <v>398.08333333333331</v>
      </c>
      <c r="AD53" s="28">
        <f t="shared" si="1"/>
        <v>358.27499999999998</v>
      </c>
      <c r="AE53" s="28">
        <f t="shared" si="1"/>
        <v>318.46666666666664</v>
      </c>
      <c r="AF53" s="28">
        <f t="shared" si="1"/>
        <v>278.65833333333336</v>
      </c>
      <c r="AG53" s="28">
        <f t="shared" si="1"/>
        <v>238.85000000000002</v>
      </c>
      <c r="AH53" s="28">
        <f t="shared" si="1"/>
        <v>199.04166666666666</v>
      </c>
      <c r="AI53" s="28">
        <f t="shared" si="1"/>
        <v>159.23333333333332</v>
      </c>
      <c r="AJ53" s="28">
        <f t="shared" si="1"/>
        <v>119.42500000000001</v>
      </c>
      <c r="AK53" s="28">
        <f t="shared" si="1"/>
        <v>79.61666666666666</v>
      </c>
      <c r="AL53" s="28">
        <f t="shared" si="1"/>
        <v>39.80833333333333</v>
      </c>
      <c r="AM53" s="28">
        <f t="shared" si="1"/>
        <v>19.904166666666665</v>
      </c>
      <c r="AN53" s="1">
        <v>165</v>
      </c>
      <c r="AO53" s="1">
        <v>175</v>
      </c>
      <c r="AP53" s="1">
        <v>140</v>
      </c>
      <c r="AQ53" s="1">
        <v>187</v>
      </c>
      <c r="AR53" s="1">
        <v>115</v>
      </c>
      <c r="AS53" s="1">
        <v>91</v>
      </c>
      <c r="AT53" s="1">
        <v>67</v>
      </c>
      <c r="AU53" s="1">
        <v>41</v>
      </c>
      <c r="AV53" s="1">
        <f t="shared" si="4"/>
        <v>96</v>
      </c>
    </row>
    <row r="54" spans="14:48" ht="15.75" x14ac:dyDescent="0.25">
      <c r="N54" s="27">
        <v>2600</v>
      </c>
      <c r="O54" s="1">
        <v>170</v>
      </c>
      <c r="P54" s="1">
        <v>170</v>
      </c>
      <c r="Q54" s="1">
        <v>135</v>
      </c>
      <c r="R54" s="1">
        <v>190</v>
      </c>
      <c r="S54" s="1">
        <v>118</v>
      </c>
      <c r="T54" s="1">
        <v>90</v>
      </c>
      <c r="U54" s="1">
        <v>66</v>
      </c>
      <c r="V54" s="1">
        <v>41</v>
      </c>
      <c r="W54" s="1">
        <f t="shared" si="2"/>
        <v>95</v>
      </c>
      <c r="AA54" s="27">
        <v>2600</v>
      </c>
      <c r="AB54" s="28">
        <f t="shared" si="3"/>
        <v>407.88230769230768</v>
      </c>
      <c r="AC54" s="28">
        <f t="shared" si="1"/>
        <v>367.46153846153851</v>
      </c>
      <c r="AD54" s="28">
        <f t="shared" si="1"/>
        <v>330.71538461538461</v>
      </c>
      <c r="AE54" s="28">
        <f t="shared" si="1"/>
        <v>293.96923076923076</v>
      </c>
      <c r="AF54" s="28">
        <f t="shared" si="1"/>
        <v>257.22307692307692</v>
      </c>
      <c r="AG54" s="28">
        <f t="shared" si="1"/>
        <v>220.4769230769231</v>
      </c>
      <c r="AH54" s="28">
        <f t="shared" si="1"/>
        <v>183.73076923076925</v>
      </c>
      <c r="AI54" s="28">
        <f t="shared" si="1"/>
        <v>146.98461538461538</v>
      </c>
      <c r="AJ54" s="28">
        <f t="shared" si="1"/>
        <v>110.23846153846155</v>
      </c>
      <c r="AK54" s="28">
        <f t="shared" si="1"/>
        <v>73.492307692307691</v>
      </c>
      <c r="AL54" s="28">
        <f t="shared" si="1"/>
        <v>36.746153846153845</v>
      </c>
      <c r="AM54" s="28">
        <f t="shared" si="1"/>
        <v>18.373076923076923</v>
      </c>
      <c r="AN54" s="1">
        <v>170</v>
      </c>
      <c r="AO54" s="1">
        <v>170</v>
      </c>
      <c r="AP54" s="1">
        <v>138</v>
      </c>
      <c r="AQ54" s="1">
        <v>190</v>
      </c>
      <c r="AR54" s="1">
        <v>115</v>
      </c>
      <c r="AS54" s="1">
        <v>90</v>
      </c>
      <c r="AT54" s="1">
        <v>66</v>
      </c>
      <c r="AU54" s="1">
        <v>41</v>
      </c>
      <c r="AV54" s="1">
        <f t="shared" si="4"/>
        <v>95</v>
      </c>
    </row>
    <row r="55" spans="14:48" ht="15.75" x14ac:dyDescent="0.25">
      <c r="N55" s="27">
        <v>2800</v>
      </c>
      <c r="Q55" s="1">
        <v>140</v>
      </c>
      <c r="R55" s="1">
        <v>188</v>
      </c>
      <c r="S55" s="1">
        <v>118</v>
      </c>
      <c r="T55" s="1">
        <v>90</v>
      </c>
      <c r="U55" s="1">
        <v>65</v>
      </c>
      <c r="V55" s="1">
        <v>40</v>
      </c>
      <c r="W55" s="1">
        <f t="shared" si="2"/>
        <v>95</v>
      </c>
      <c r="AA55" s="27">
        <v>2800</v>
      </c>
      <c r="AB55" s="28">
        <f t="shared" si="3"/>
        <v>378.74785714285713</v>
      </c>
      <c r="AC55" s="28">
        <f t="shared" si="1"/>
        <v>341.21428571428572</v>
      </c>
      <c r="AD55" s="28">
        <f t="shared" si="1"/>
        <v>307.0928571428571</v>
      </c>
      <c r="AE55" s="28">
        <f t="shared" si="1"/>
        <v>272.97142857142859</v>
      </c>
      <c r="AF55" s="28">
        <f t="shared" si="1"/>
        <v>238.85000000000002</v>
      </c>
      <c r="AG55" s="28">
        <f t="shared" si="1"/>
        <v>204.72857142857143</v>
      </c>
      <c r="AH55" s="28">
        <f t="shared" si="1"/>
        <v>170.60714285714286</v>
      </c>
      <c r="AI55" s="28">
        <f t="shared" si="1"/>
        <v>136.48571428571429</v>
      </c>
      <c r="AJ55" s="28">
        <f t="shared" si="1"/>
        <v>102.36428571428571</v>
      </c>
      <c r="AK55" s="28">
        <f t="shared" si="1"/>
        <v>68.242857142857147</v>
      </c>
      <c r="AL55" s="28">
        <f t="shared" si="1"/>
        <v>34.121428571428574</v>
      </c>
      <c r="AM55" s="28">
        <f t="shared" si="1"/>
        <v>17.060714285714287</v>
      </c>
      <c r="AP55" s="1">
        <v>140</v>
      </c>
      <c r="AQ55" s="1">
        <v>188</v>
      </c>
      <c r="AR55" s="1">
        <v>117</v>
      </c>
      <c r="AS55" s="1">
        <v>90</v>
      </c>
      <c r="AT55" s="1">
        <v>65</v>
      </c>
      <c r="AU55" s="1">
        <v>40</v>
      </c>
      <c r="AV55" s="1">
        <f t="shared" si="4"/>
        <v>95</v>
      </c>
    </row>
    <row r="56" spans="14:48" ht="15.75" x14ac:dyDescent="0.25">
      <c r="N56" s="27">
        <v>3000</v>
      </c>
      <c r="Q56" s="1">
        <v>145</v>
      </c>
      <c r="R56" s="1">
        <v>180</v>
      </c>
      <c r="S56" s="1">
        <v>119</v>
      </c>
      <c r="T56" s="1">
        <v>91</v>
      </c>
      <c r="U56" s="1">
        <v>65</v>
      </c>
      <c r="V56" s="1">
        <v>40</v>
      </c>
      <c r="W56" s="1">
        <f t="shared" si="2"/>
        <v>96</v>
      </c>
      <c r="AA56" s="27">
        <v>3000</v>
      </c>
      <c r="AB56" s="28">
        <f t="shared" si="3"/>
        <v>353.49799999999999</v>
      </c>
      <c r="AC56" s="28">
        <f t="shared" si="1"/>
        <v>318.46666666666664</v>
      </c>
      <c r="AD56" s="28">
        <f t="shared" si="1"/>
        <v>286.62</v>
      </c>
      <c r="AE56" s="28">
        <f t="shared" si="1"/>
        <v>254.77333333333334</v>
      </c>
      <c r="AF56" s="28">
        <f t="shared" si="1"/>
        <v>222.92666666666668</v>
      </c>
      <c r="AG56" s="28">
        <f t="shared" si="1"/>
        <v>191.08</v>
      </c>
      <c r="AH56" s="28">
        <f t="shared" si="1"/>
        <v>159.23333333333332</v>
      </c>
      <c r="AI56" s="28">
        <f t="shared" si="1"/>
        <v>127.38666666666667</v>
      </c>
      <c r="AJ56" s="28">
        <f t="shared" si="1"/>
        <v>95.54</v>
      </c>
      <c r="AK56" s="28">
        <f t="shared" si="1"/>
        <v>63.693333333333335</v>
      </c>
      <c r="AL56" s="28">
        <f t="shared" si="1"/>
        <v>31.846666666666668</v>
      </c>
      <c r="AM56" s="28">
        <f t="shared" si="1"/>
        <v>15.923333333333334</v>
      </c>
      <c r="AP56" s="1">
        <v>145</v>
      </c>
      <c r="AQ56" s="1">
        <v>180</v>
      </c>
      <c r="AR56" s="1">
        <v>119</v>
      </c>
      <c r="AS56" s="1">
        <v>91</v>
      </c>
      <c r="AT56" s="1">
        <v>65</v>
      </c>
      <c r="AU56" s="1">
        <v>40</v>
      </c>
      <c r="AV56" s="1">
        <f t="shared" si="4"/>
        <v>96</v>
      </c>
    </row>
    <row r="57" spans="14:48" ht="15.75" x14ac:dyDescent="0.25">
      <c r="N57" s="27">
        <v>3200</v>
      </c>
      <c r="Q57" s="1">
        <v>160</v>
      </c>
      <c r="R57" s="1">
        <v>160</v>
      </c>
      <c r="S57" s="1">
        <v>121</v>
      </c>
      <c r="T57" s="1">
        <v>92</v>
      </c>
      <c r="U57" s="1">
        <v>66</v>
      </c>
      <c r="V57" s="1">
        <v>41</v>
      </c>
      <c r="W57" s="1">
        <f t="shared" si="2"/>
        <v>97</v>
      </c>
      <c r="AA57" s="27">
        <v>3200</v>
      </c>
      <c r="AB57" s="28">
        <f t="shared" si="3"/>
        <v>331.40437500000002</v>
      </c>
      <c r="AC57" s="28">
        <f t="shared" si="1"/>
        <v>298.5625</v>
      </c>
      <c r="AD57" s="28">
        <f t="shared" si="1"/>
        <v>268.70625000000001</v>
      </c>
      <c r="AE57" s="28">
        <f t="shared" si="1"/>
        <v>238.85000000000002</v>
      </c>
      <c r="AF57" s="28">
        <f t="shared" si="1"/>
        <v>208.99374999999998</v>
      </c>
      <c r="AG57" s="28">
        <f t="shared" si="1"/>
        <v>179.13749999999999</v>
      </c>
      <c r="AH57" s="28">
        <f t="shared" si="1"/>
        <v>149.28125</v>
      </c>
      <c r="AI57" s="28">
        <f t="shared" si="1"/>
        <v>119.42500000000001</v>
      </c>
      <c r="AJ57" s="28">
        <f t="shared" si="1"/>
        <v>89.568749999999994</v>
      </c>
      <c r="AK57" s="28">
        <f t="shared" si="1"/>
        <v>59.712500000000006</v>
      </c>
      <c r="AL57" s="28">
        <f t="shared" si="1"/>
        <v>29.856250000000003</v>
      </c>
      <c r="AM57" s="28">
        <f t="shared" si="1"/>
        <v>14.928125000000001</v>
      </c>
      <c r="AP57" s="1">
        <v>160</v>
      </c>
      <c r="AQ57" s="1">
        <v>160</v>
      </c>
      <c r="AR57" s="1">
        <v>121</v>
      </c>
      <c r="AS57" s="1">
        <v>92</v>
      </c>
      <c r="AT57" s="1">
        <v>66</v>
      </c>
      <c r="AU57" s="1">
        <v>41</v>
      </c>
      <c r="AV57" s="1">
        <f t="shared" si="4"/>
        <v>97</v>
      </c>
    </row>
    <row r="58" spans="14:48" ht="15.75" x14ac:dyDescent="0.25">
      <c r="N58" s="27">
        <v>3400</v>
      </c>
      <c r="S58" s="1">
        <v>124</v>
      </c>
      <c r="T58" s="1">
        <v>93</v>
      </c>
      <c r="U58" s="1">
        <v>66</v>
      </c>
      <c r="V58" s="1">
        <v>41</v>
      </c>
      <c r="W58" s="1">
        <f t="shared" si="2"/>
        <v>98</v>
      </c>
      <c r="AA58" s="27">
        <v>3400</v>
      </c>
      <c r="AB58" s="28">
        <f t="shared" si="3"/>
        <v>311.90999999999997</v>
      </c>
      <c r="AC58" s="28">
        <f t="shared" si="1"/>
        <v>281</v>
      </c>
      <c r="AD58" s="28">
        <f t="shared" si="1"/>
        <v>252.9</v>
      </c>
      <c r="AE58" s="28">
        <f t="shared" si="1"/>
        <v>224.79999999999998</v>
      </c>
      <c r="AF58" s="28">
        <f t="shared" si="1"/>
        <v>196.7</v>
      </c>
      <c r="AG58" s="28">
        <f t="shared" si="1"/>
        <v>168.6</v>
      </c>
      <c r="AH58" s="28">
        <f t="shared" si="1"/>
        <v>140.5</v>
      </c>
      <c r="AI58" s="28">
        <f t="shared" si="1"/>
        <v>112.39999999999999</v>
      </c>
      <c r="AJ58" s="28">
        <f t="shared" si="1"/>
        <v>84.3</v>
      </c>
      <c r="AK58" s="28">
        <f t="shared" si="1"/>
        <v>56.199999999999996</v>
      </c>
      <c r="AL58" s="28">
        <f t="shared" si="1"/>
        <v>28.099999999999998</v>
      </c>
      <c r="AM58" s="28">
        <f t="shared" si="1"/>
        <v>14.049999999999999</v>
      </c>
      <c r="AR58" s="1">
        <v>124</v>
      </c>
      <c r="AS58" s="1">
        <v>93</v>
      </c>
      <c r="AT58" s="1">
        <v>66</v>
      </c>
      <c r="AU58" s="1">
        <v>41</v>
      </c>
      <c r="AV58" s="1">
        <f t="shared" si="4"/>
        <v>98</v>
      </c>
    </row>
    <row r="59" spans="14:48" ht="15.75" x14ac:dyDescent="0.25">
      <c r="N59" s="27">
        <v>3600</v>
      </c>
      <c r="S59" s="1">
        <v>127</v>
      </c>
      <c r="T59" s="1">
        <v>94</v>
      </c>
      <c r="U59" s="1">
        <v>67</v>
      </c>
      <c r="V59" s="1">
        <v>41</v>
      </c>
      <c r="W59" s="1">
        <f t="shared" si="2"/>
        <v>99</v>
      </c>
      <c r="AA59" s="27">
        <v>3600</v>
      </c>
      <c r="AB59" s="28">
        <f t="shared" si="3"/>
        <v>294.58166666666665</v>
      </c>
      <c r="AC59" s="28">
        <f t="shared" si="1"/>
        <v>265.38888888888886</v>
      </c>
      <c r="AD59" s="28">
        <f t="shared" si="1"/>
        <v>238.85000000000002</v>
      </c>
      <c r="AE59" s="28">
        <f t="shared" si="1"/>
        <v>212.31111111111113</v>
      </c>
      <c r="AF59" s="28">
        <f t="shared" si="1"/>
        <v>185.77222222222221</v>
      </c>
      <c r="AG59" s="28">
        <f t="shared" si="1"/>
        <v>159.23333333333332</v>
      </c>
      <c r="AH59" s="28">
        <f t="shared" si="1"/>
        <v>132.69444444444443</v>
      </c>
      <c r="AI59" s="28">
        <f t="shared" si="1"/>
        <v>106.15555555555557</v>
      </c>
      <c r="AJ59" s="28">
        <f t="shared" si="1"/>
        <v>79.61666666666666</v>
      </c>
      <c r="AK59" s="28">
        <f t="shared" si="1"/>
        <v>53.077777777777783</v>
      </c>
      <c r="AL59" s="28">
        <f t="shared" si="1"/>
        <v>26.538888888888891</v>
      </c>
      <c r="AM59" s="28">
        <f t="shared" si="1"/>
        <v>13.269444444444446</v>
      </c>
      <c r="AR59" s="1">
        <v>127</v>
      </c>
      <c r="AS59" s="1">
        <v>94</v>
      </c>
      <c r="AT59" s="1">
        <v>67</v>
      </c>
      <c r="AU59" s="1">
        <v>41</v>
      </c>
      <c r="AV59" s="1">
        <f t="shared" si="4"/>
        <v>99</v>
      </c>
    </row>
    <row r="60" spans="14:48" ht="15.75" x14ac:dyDescent="0.25">
      <c r="N60" s="27">
        <v>3800</v>
      </c>
      <c r="S60" s="1">
        <v>130</v>
      </c>
      <c r="T60" s="1">
        <v>96</v>
      </c>
      <c r="U60" s="1">
        <v>69</v>
      </c>
      <c r="V60" s="1">
        <v>42</v>
      </c>
      <c r="W60" s="1">
        <f t="shared" si="2"/>
        <v>101</v>
      </c>
      <c r="AA60" s="27">
        <v>3800</v>
      </c>
      <c r="AB60" s="28">
        <f t="shared" si="3"/>
        <v>279.07736842105265</v>
      </c>
      <c r="AC60" s="28">
        <f t="shared" si="1"/>
        <v>251.42105263157893</v>
      </c>
      <c r="AD60" s="28">
        <f t="shared" si="1"/>
        <v>226.27894736842106</v>
      </c>
      <c r="AE60" s="28">
        <f t="shared" si="1"/>
        <v>201.13684210526316</v>
      </c>
      <c r="AF60" s="28">
        <f t="shared" si="1"/>
        <v>175.99473684210525</v>
      </c>
      <c r="AG60" s="28">
        <f t="shared" si="1"/>
        <v>150.85263157894738</v>
      </c>
      <c r="AH60" s="28">
        <f t="shared" si="1"/>
        <v>125.71052631578947</v>
      </c>
      <c r="AI60" s="28">
        <f t="shared" si="1"/>
        <v>100.56842105263158</v>
      </c>
      <c r="AJ60" s="28">
        <f t="shared" si="1"/>
        <v>75.426315789473691</v>
      </c>
      <c r="AK60" s="28">
        <f t="shared" si="1"/>
        <v>50.284210526315789</v>
      </c>
      <c r="AL60" s="28">
        <f t="shared" si="1"/>
        <v>25.142105263157895</v>
      </c>
      <c r="AM60" s="28">
        <f t="shared" si="1"/>
        <v>12.571052631578947</v>
      </c>
      <c r="AR60" s="1">
        <v>130</v>
      </c>
      <c r="AS60" s="1">
        <v>96</v>
      </c>
      <c r="AT60" s="1">
        <v>69</v>
      </c>
      <c r="AU60" s="1">
        <v>42</v>
      </c>
      <c r="AV60" s="1">
        <f t="shared" si="4"/>
        <v>101</v>
      </c>
    </row>
    <row r="61" spans="14:48" ht="15.75" x14ac:dyDescent="0.25">
      <c r="N61" s="27">
        <v>4000</v>
      </c>
      <c r="S61" s="1">
        <v>134</v>
      </c>
      <c r="T61" s="1">
        <v>98</v>
      </c>
      <c r="U61" s="1">
        <v>71</v>
      </c>
      <c r="V61" s="1">
        <v>43</v>
      </c>
      <c r="W61" s="1">
        <f t="shared" si="2"/>
        <v>103</v>
      </c>
      <c r="AA61" s="27">
        <v>4000</v>
      </c>
      <c r="AB61" s="28">
        <f t="shared" si="3"/>
        <v>265.12349999999998</v>
      </c>
      <c r="AC61" s="28">
        <f t="shared" si="3"/>
        <v>238.85000000000002</v>
      </c>
      <c r="AD61" s="28">
        <f t="shared" si="3"/>
        <v>214.965</v>
      </c>
      <c r="AE61" s="28">
        <f t="shared" si="3"/>
        <v>191.08</v>
      </c>
      <c r="AF61" s="28">
        <f t="shared" si="3"/>
        <v>167.19500000000002</v>
      </c>
      <c r="AG61" s="28">
        <f t="shared" si="3"/>
        <v>143.31</v>
      </c>
      <c r="AH61" s="28">
        <f t="shared" si="3"/>
        <v>119.42500000000001</v>
      </c>
      <c r="AI61" s="28">
        <f t="shared" si="3"/>
        <v>95.54</v>
      </c>
      <c r="AJ61" s="28">
        <f t="shared" si="3"/>
        <v>71.655000000000001</v>
      </c>
      <c r="AK61" s="28">
        <f t="shared" si="3"/>
        <v>47.77</v>
      </c>
      <c r="AL61" s="28">
        <f t="shared" si="3"/>
        <v>23.885000000000002</v>
      </c>
      <c r="AM61" s="28">
        <f t="shared" si="3"/>
        <v>11.942500000000001</v>
      </c>
      <c r="AR61" s="1">
        <v>134</v>
      </c>
      <c r="AS61" s="1">
        <v>98</v>
      </c>
      <c r="AT61" s="1">
        <v>71</v>
      </c>
      <c r="AU61" s="1">
        <v>43</v>
      </c>
      <c r="AV61" s="1">
        <f t="shared" si="4"/>
        <v>103</v>
      </c>
    </row>
    <row r="62" spans="14:48" ht="15.75" x14ac:dyDescent="0.25">
      <c r="N62" s="27">
        <v>4200</v>
      </c>
      <c r="S62" s="1">
        <v>138</v>
      </c>
      <c r="T62" s="1">
        <v>100</v>
      </c>
      <c r="U62" s="1">
        <v>73</v>
      </c>
      <c r="V62" s="1">
        <v>44</v>
      </c>
      <c r="W62" s="1">
        <f t="shared" si="2"/>
        <v>105</v>
      </c>
      <c r="AA62" s="27">
        <v>4200</v>
      </c>
      <c r="AB62" s="28">
        <f t="shared" ref="AB62:AM74" si="5">AB$44/$AA62*9554</f>
        <v>252.49857142857144</v>
      </c>
      <c r="AC62" s="28">
        <f t="shared" si="5"/>
        <v>227.47619047619045</v>
      </c>
      <c r="AD62" s="28">
        <f t="shared" si="5"/>
        <v>204.72857142857143</v>
      </c>
      <c r="AE62" s="28">
        <f t="shared" si="5"/>
        <v>181.9809523809524</v>
      </c>
      <c r="AF62" s="28">
        <f t="shared" si="5"/>
        <v>159.23333333333332</v>
      </c>
      <c r="AG62" s="28">
        <f t="shared" si="5"/>
        <v>136.48571428571429</v>
      </c>
      <c r="AH62" s="28">
        <f t="shared" si="5"/>
        <v>113.73809523809523</v>
      </c>
      <c r="AI62" s="28">
        <f t="shared" si="5"/>
        <v>90.990476190476201</v>
      </c>
      <c r="AJ62" s="28">
        <f t="shared" si="5"/>
        <v>68.242857142857147</v>
      </c>
      <c r="AK62" s="28">
        <f t="shared" si="5"/>
        <v>45.495238095238101</v>
      </c>
      <c r="AL62" s="28">
        <f t="shared" si="5"/>
        <v>22.74761904761905</v>
      </c>
      <c r="AM62" s="28">
        <f t="shared" si="5"/>
        <v>11.373809523809525</v>
      </c>
      <c r="AR62" s="1">
        <v>138</v>
      </c>
      <c r="AS62" s="1">
        <v>100</v>
      </c>
      <c r="AT62" s="1">
        <v>73</v>
      </c>
      <c r="AU62" s="1">
        <v>44</v>
      </c>
      <c r="AV62" s="1">
        <f t="shared" si="4"/>
        <v>105</v>
      </c>
    </row>
    <row r="63" spans="14:48" ht="15.75" x14ac:dyDescent="0.25">
      <c r="N63" s="27">
        <v>4400</v>
      </c>
      <c r="S63" s="1">
        <v>143</v>
      </c>
      <c r="T63" s="1">
        <v>104</v>
      </c>
      <c r="U63" s="1">
        <v>76</v>
      </c>
      <c r="V63" s="1">
        <v>45</v>
      </c>
      <c r="W63" s="1">
        <f t="shared" si="2"/>
        <v>109</v>
      </c>
      <c r="AA63" s="27">
        <v>4400</v>
      </c>
      <c r="AB63" s="28">
        <f t="shared" si="5"/>
        <v>241.02136363636362</v>
      </c>
      <c r="AC63" s="28">
        <f t="shared" si="5"/>
        <v>217.13636363636365</v>
      </c>
      <c r="AD63" s="28">
        <f t="shared" si="5"/>
        <v>195.42272727272726</v>
      </c>
      <c r="AE63" s="28">
        <f t="shared" si="5"/>
        <v>173.70909090909089</v>
      </c>
      <c r="AF63" s="28">
        <f t="shared" si="5"/>
        <v>151.99545454545452</v>
      </c>
      <c r="AG63" s="28">
        <f t="shared" si="5"/>
        <v>130.28181818181818</v>
      </c>
      <c r="AH63" s="28">
        <f t="shared" si="5"/>
        <v>108.56818181818183</v>
      </c>
      <c r="AI63" s="28">
        <f t="shared" si="5"/>
        <v>86.854545454545445</v>
      </c>
      <c r="AJ63" s="28">
        <f t="shared" si="5"/>
        <v>65.140909090909091</v>
      </c>
      <c r="AK63" s="28">
        <f t="shared" si="5"/>
        <v>43.427272727272722</v>
      </c>
      <c r="AL63" s="28">
        <f t="shared" si="5"/>
        <v>21.713636363636361</v>
      </c>
      <c r="AM63" s="28">
        <f t="shared" si="5"/>
        <v>10.856818181818181</v>
      </c>
      <c r="AR63" s="1">
        <v>143</v>
      </c>
      <c r="AS63" s="1">
        <v>104</v>
      </c>
      <c r="AT63" s="1">
        <v>76</v>
      </c>
      <c r="AU63" s="1">
        <v>45</v>
      </c>
      <c r="AV63" s="1">
        <f t="shared" si="4"/>
        <v>109</v>
      </c>
    </row>
    <row r="64" spans="14:48" ht="15.75" x14ac:dyDescent="0.25">
      <c r="N64" s="27">
        <v>4600</v>
      </c>
      <c r="S64" s="1">
        <v>150</v>
      </c>
      <c r="T64" s="1">
        <v>110</v>
      </c>
      <c r="U64" s="1">
        <v>79</v>
      </c>
      <c r="V64" s="1">
        <v>46</v>
      </c>
      <c r="W64" s="1">
        <f t="shared" si="2"/>
        <v>115</v>
      </c>
      <c r="AA64" s="27">
        <v>4600</v>
      </c>
      <c r="AB64" s="28">
        <f t="shared" si="5"/>
        <v>230.54217391304348</v>
      </c>
      <c r="AC64" s="28">
        <f t="shared" si="5"/>
        <v>207.69565217391303</v>
      </c>
      <c r="AD64" s="28">
        <f t="shared" si="5"/>
        <v>186.92608695652174</v>
      </c>
      <c r="AE64" s="28">
        <f t="shared" si="5"/>
        <v>166.15652173913043</v>
      </c>
      <c r="AF64" s="28">
        <f t="shared" si="5"/>
        <v>145.38695652173914</v>
      </c>
      <c r="AG64" s="28">
        <f t="shared" si="5"/>
        <v>124.61739130434782</v>
      </c>
      <c r="AH64" s="28">
        <f t="shared" si="5"/>
        <v>103.84782608695652</v>
      </c>
      <c r="AI64" s="28">
        <f t="shared" si="5"/>
        <v>83.078260869565213</v>
      </c>
      <c r="AJ64" s="28">
        <f t="shared" si="5"/>
        <v>62.30869565217391</v>
      </c>
      <c r="AK64" s="28">
        <f t="shared" si="5"/>
        <v>41.539130434782606</v>
      </c>
      <c r="AL64" s="28">
        <f t="shared" si="5"/>
        <v>20.769565217391303</v>
      </c>
      <c r="AM64" s="28">
        <f t="shared" si="5"/>
        <v>10.384782608695652</v>
      </c>
      <c r="AR64" s="1">
        <v>150</v>
      </c>
      <c r="AS64" s="1">
        <v>110</v>
      </c>
      <c r="AT64" s="1">
        <v>79</v>
      </c>
      <c r="AU64" s="1">
        <v>46</v>
      </c>
      <c r="AV64" s="1">
        <f t="shared" si="4"/>
        <v>115</v>
      </c>
    </row>
    <row r="65" spans="14:48" ht="15.75" x14ac:dyDescent="0.25">
      <c r="N65" s="27">
        <v>4800</v>
      </c>
      <c r="S65" s="1">
        <v>165</v>
      </c>
      <c r="T65" s="1">
        <v>115</v>
      </c>
      <c r="U65" s="1">
        <v>83</v>
      </c>
      <c r="V65" s="1">
        <v>47</v>
      </c>
      <c r="W65" s="1">
        <f t="shared" si="2"/>
        <v>120</v>
      </c>
      <c r="AA65" s="27">
        <v>4800</v>
      </c>
      <c r="AB65" s="28">
        <f t="shared" si="5"/>
        <v>220.93625</v>
      </c>
      <c r="AC65" s="28">
        <f t="shared" si="5"/>
        <v>199.04166666666666</v>
      </c>
      <c r="AD65" s="28">
        <f t="shared" si="5"/>
        <v>179.13749999999999</v>
      </c>
      <c r="AE65" s="28">
        <f t="shared" si="5"/>
        <v>159.23333333333332</v>
      </c>
      <c r="AF65" s="28">
        <f t="shared" si="5"/>
        <v>139.32916666666668</v>
      </c>
      <c r="AG65" s="28">
        <f t="shared" si="5"/>
        <v>119.42500000000001</v>
      </c>
      <c r="AH65" s="28">
        <f t="shared" si="5"/>
        <v>99.520833333333329</v>
      </c>
      <c r="AI65" s="28">
        <f t="shared" si="5"/>
        <v>79.61666666666666</v>
      </c>
      <c r="AJ65" s="28">
        <f t="shared" si="5"/>
        <v>59.712500000000006</v>
      </c>
      <c r="AK65" s="28">
        <f t="shared" si="5"/>
        <v>39.80833333333333</v>
      </c>
      <c r="AL65" s="28">
        <f t="shared" si="5"/>
        <v>19.904166666666665</v>
      </c>
      <c r="AM65" s="28">
        <f t="shared" si="5"/>
        <v>9.9520833333333325</v>
      </c>
      <c r="AR65" s="1">
        <v>165</v>
      </c>
      <c r="AS65" s="1">
        <v>115</v>
      </c>
      <c r="AT65" s="1">
        <v>83</v>
      </c>
      <c r="AU65" s="1">
        <v>47</v>
      </c>
      <c r="AV65" s="1">
        <f t="shared" si="4"/>
        <v>120</v>
      </c>
    </row>
    <row r="66" spans="14:48" ht="15.75" x14ac:dyDescent="0.25">
      <c r="N66" s="27">
        <v>5000</v>
      </c>
      <c r="S66" s="1">
        <v>197</v>
      </c>
      <c r="T66" s="1">
        <v>125</v>
      </c>
      <c r="U66" s="1">
        <v>87</v>
      </c>
      <c r="V66" s="1">
        <v>49</v>
      </c>
      <c r="W66" s="1">
        <f t="shared" si="2"/>
        <v>130</v>
      </c>
      <c r="AA66" s="27">
        <v>5000</v>
      </c>
      <c r="AB66" s="28">
        <f t="shared" si="5"/>
        <v>212.09880000000001</v>
      </c>
      <c r="AC66" s="28">
        <f t="shared" si="5"/>
        <v>191.08</v>
      </c>
      <c r="AD66" s="28">
        <f t="shared" si="5"/>
        <v>171.97199999999998</v>
      </c>
      <c r="AE66" s="28">
        <f t="shared" si="5"/>
        <v>152.864</v>
      </c>
      <c r="AF66" s="28">
        <f t="shared" si="5"/>
        <v>133.756</v>
      </c>
      <c r="AG66" s="28">
        <f t="shared" si="5"/>
        <v>114.648</v>
      </c>
      <c r="AH66" s="28">
        <f t="shared" si="5"/>
        <v>95.54</v>
      </c>
      <c r="AI66" s="28">
        <f t="shared" si="5"/>
        <v>76.432000000000002</v>
      </c>
      <c r="AJ66" s="28">
        <f t="shared" si="5"/>
        <v>57.323999999999998</v>
      </c>
      <c r="AK66" s="28">
        <f t="shared" si="5"/>
        <v>38.216000000000001</v>
      </c>
      <c r="AL66" s="28">
        <f t="shared" si="5"/>
        <v>19.108000000000001</v>
      </c>
      <c r="AM66" s="28">
        <f t="shared" si="5"/>
        <v>9.5540000000000003</v>
      </c>
      <c r="AR66" s="1">
        <v>197</v>
      </c>
      <c r="AS66" s="1">
        <v>125</v>
      </c>
      <c r="AT66" s="1">
        <v>87</v>
      </c>
      <c r="AU66" s="1">
        <v>49</v>
      </c>
      <c r="AV66" s="1">
        <f t="shared" si="4"/>
        <v>130</v>
      </c>
    </row>
    <row r="67" spans="14:48" ht="15.75" x14ac:dyDescent="0.25">
      <c r="N67" s="27">
        <v>5200</v>
      </c>
      <c r="T67" s="1">
        <v>135</v>
      </c>
      <c r="U67" s="1">
        <v>92</v>
      </c>
      <c r="V67" s="1">
        <v>52</v>
      </c>
      <c r="W67" s="1">
        <f t="shared" si="2"/>
        <v>140</v>
      </c>
      <c r="AA67" s="27">
        <v>5200</v>
      </c>
      <c r="AB67" s="28">
        <f t="shared" si="5"/>
        <v>203.94115384615384</v>
      </c>
      <c r="AC67" s="28">
        <f t="shared" si="5"/>
        <v>183.73076923076925</v>
      </c>
      <c r="AD67" s="28">
        <f t="shared" si="5"/>
        <v>165.3576923076923</v>
      </c>
      <c r="AE67" s="28">
        <f t="shared" si="5"/>
        <v>146.98461538461538</v>
      </c>
      <c r="AF67" s="28">
        <f t="shared" si="5"/>
        <v>128.61153846153846</v>
      </c>
      <c r="AG67" s="28">
        <f t="shared" si="5"/>
        <v>110.23846153846155</v>
      </c>
      <c r="AH67" s="28">
        <f t="shared" si="5"/>
        <v>91.865384615384627</v>
      </c>
      <c r="AI67" s="28">
        <f t="shared" si="5"/>
        <v>73.492307692307691</v>
      </c>
      <c r="AJ67" s="28">
        <f t="shared" si="5"/>
        <v>55.119230769230775</v>
      </c>
      <c r="AK67" s="28">
        <f t="shared" si="5"/>
        <v>36.746153846153845</v>
      </c>
      <c r="AL67" s="28">
        <f t="shared" si="5"/>
        <v>18.373076923076923</v>
      </c>
      <c r="AM67" s="28">
        <f t="shared" si="5"/>
        <v>9.1865384615384613</v>
      </c>
      <c r="AS67" s="1">
        <v>135</v>
      </c>
      <c r="AT67" s="1">
        <v>92</v>
      </c>
      <c r="AU67" s="1">
        <v>52</v>
      </c>
      <c r="AV67" s="1">
        <f t="shared" si="4"/>
        <v>140</v>
      </c>
    </row>
    <row r="68" spans="14:48" ht="15.75" x14ac:dyDescent="0.25">
      <c r="N68" s="27">
        <v>5400</v>
      </c>
      <c r="T68" s="1">
        <v>150</v>
      </c>
      <c r="U68" s="1">
        <v>98</v>
      </c>
      <c r="V68" s="1">
        <v>53</v>
      </c>
      <c r="W68" s="1">
        <f t="shared" si="2"/>
        <v>155</v>
      </c>
      <c r="AA68" s="27">
        <v>5400</v>
      </c>
      <c r="AB68" s="28">
        <f t="shared" si="5"/>
        <v>196.38777777777779</v>
      </c>
      <c r="AC68" s="28">
        <f t="shared" si="5"/>
        <v>176.92592592592592</v>
      </c>
      <c r="AD68" s="28">
        <f t="shared" si="5"/>
        <v>159.23333333333332</v>
      </c>
      <c r="AE68" s="28">
        <f t="shared" si="5"/>
        <v>141.54074074074074</v>
      </c>
      <c r="AF68" s="28">
        <f t="shared" si="5"/>
        <v>123.84814814814814</v>
      </c>
      <c r="AG68" s="28">
        <f t="shared" si="5"/>
        <v>106.15555555555557</v>
      </c>
      <c r="AH68" s="28">
        <f t="shared" si="5"/>
        <v>88.462962962962962</v>
      </c>
      <c r="AI68" s="28">
        <f t="shared" si="5"/>
        <v>70.770370370370372</v>
      </c>
      <c r="AJ68" s="28">
        <f t="shared" si="5"/>
        <v>53.077777777777783</v>
      </c>
      <c r="AK68" s="28">
        <f t="shared" si="5"/>
        <v>35.385185185185186</v>
      </c>
      <c r="AL68" s="28">
        <f t="shared" si="5"/>
        <v>17.692592592592593</v>
      </c>
      <c r="AM68" s="28">
        <f t="shared" si="5"/>
        <v>8.8462962962962965</v>
      </c>
      <c r="AS68" s="1">
        <v>150</v>
      </c>
      <c r="AT68" s="1">
        <v>98</v>
      </c>
      <c r="AU68" s="1">
        <v>53</v>
      </c>
      <c r="AV68" s="1">
        <f t="shared" si="4"/>
        <v>155</v>
      </c>
    </row>
    <row r="69" spans="14:48" ht="15.75" x14ac:dyDescent="0.25">
      <c r="N69" s="27">
        <v>5600</v>
      </c>
      <c r="T69" s="1">
        <v>190</v>
      </c>
      <c r="U69" s="1">
        <v>105</v>
      </c>
      <c r="V69" s="1">
        <v>56</v>
      </c>
      <c r="W69" s="1">
        <f t="shared" si="2"/>
        <v>195</v>
      </c>
      <c r="AA69" s="27">
        <v>5600</v>
      </c>
      <c r="AB69" s="28">
        <f t="shared" si="5"/>
        <v>189.37392857142856</v>
      </c>
      <c r="AC69" s="28">
        <f t="shared" si="5"/>
        <v>170.60714285714286</v>
      </c>
      <c r="AD69" s="28">
        <f t="shared" si="5"/>
        <v>153.54642857142855</v>
      </c>
      <c r="AE69" s="28">
        <f t="shared" si="5"/>
        <v>136.48571428571429</v>
      </c>
      <c r="AF69" s="28">
        <f t="shared" si="5"/>
        <v>119.42500000000001</v>
      </c>
      <c r="AG69" s="28">
        <f t="shared" si="5"/>
        <v>102.36428571428571</v>
      </c>
      <c r="AH69" s="28">
        <f t="shared" si="5"/>
        <v>85.303571428571431</v>
      </c>
      <c r="AI69" s="28">
        <f t="shared" si="5"/>
        <v>68.242857142857147</v>
      </c>
      <c r="AJ69" s="28">
        <f t="shared" si="5"/>
        <v>51.182142857142857</v>
      </c>
      <c r="AK69" s="28">
        <f t="shared" si="5"/>
        <v>34.121428571428574</v>
      </c>
      <c r="AL69" s="28">
        <f t="shared" si="5"/>
        <v>17.060714285714287</v>
      </c>
      <c r="AM69" s="28">
        <f t="shared" si="5"/>
        <v>8.5303571428571434</v>
      </c>
      <c r="AS69" s="1">
        <v>190</v>
      </c>
      <c r="AT69" s="1">
        <v>105</v>
      </c>
      <c r="AU69" s="1">
        <v>56</v>
      </c>
      <c r="AV69" s="1">
        <f t="shared" si="4"/>
        <v>195</v>
      </c>
    </row>
    <row r="70" spans="14:48" ht="15.75" x14ac:dyDescent="0.25">
      <c r="N70" s="27">
        <v>5800</v>
      </c>
      <c r="U70" s="1">
        <v>117</v>
      </c>
      <c r="V70" s="1">
        <v>59</v>
      </c>
      <c r="AA70" s="27">
        <v>5800</v>
      </c>
      <c r="AB70" s="28">
        <f t="shared" si="5"/>
        <v>182.84379310344826</v>
      </c>
      <c r="AC70" s="28">
        <f t="shared" si="5"/>
        <v>164.72413793103448</v>
      </c>
      <c r="AD70" s="28">
        <f t="shared" si="5"/>
        <v>148.25172413793103</v>
      </c>
      <c r="AE70" s="28">
        <f t="shared" si="5"/>
        <v>131.77931034482759</v>
      </c>
      <c r="AF70" s="28">
        <f t="shared" si="5"/>
        <v>115.30689655172414</v>
      </c>
      <c r="AG70" s="28">
        <f t="shared" si="5"/>
        <v>98.834482758620695</v>
      </c>
      <c r="AH70" s="28">
        <f t="shared" si="5"/>
        <v>82.362068965517238</v>
      </c>
      <c r="AI70" s="28">
        <f t="shared" si="5"/>
        <v>65.889655172413796</v>
      </c>
      <c r="AJ70" s="28">
        <f t="shared" si="5"/>
        <v>49.417241379310347</v>
      </c>
      <c r="AK70" s="28">
        <f t="shared" si="5"/>
        <v>32.944827586206898</v>
      </c>
      <c r="AL70" s="28">
        <f t="shared" si="5"/>
        <v>16.472413793103449</v>
      </c>
      <c r="AM70" s="28">
        <f t="shared" si="5"/>
        <v>8.2362068965517246</v>
      </c>
      <c r="AT70" s="1">
        <v>117</v>
      </c>
      <c r="AU70" s="1">
        <v>59</v>
      </c>
    </row>
    <row r="71" spans="14:48" ht="15.75" x14ac:dyDescent="0.25">
      <c r="N71" s="27">
        <v>6000</v>
      </c>
      <c r="U71" s="1">
        <v>135</v>
      </c>
      <c r="V71" s="1">
        <v>62</v>
      </c>
      <c r="AA71" s="27">
        <v>6000</v>
      </c>
      <c r="AB71" s="28">
        <f t="shared" si="5"/>
        <v>176.749</v>
      </c>
      <c r="AC71" s="28">
        <f t="shared" si="5"/>
        <v>159.23333333333332</v>
      </c>
      <c r="AD71" s="28">
        <f t="shared" si="5"/>
        <v>143.31</v>
      </c>
      <c r="AE71" s="28">
        <f t="shared" si="5"/>
        <v>127.38666666666667</v>
      </c>
      <c r="AF71" s="28">
        <f t="shared" si="5"/>
        <v>111.46333333333334</v>
      </c>
      <c r="AG71" s="28">
        <f t="shared" si="5"/>
        <v>95.54</v>
      </c>
      <c r="AH71" s="28">
        <f t="shared" si="5"/>
        <v>79.61666666666666</v>
      </c>
      <c r="AI71" s="28">
        <f t="shared" si="5"/>
        <v>63.693333333333335</v>
      </c>
      <c r="AJ71" s="28">
        <f t="shared" si="5"/>
        <v>47.77</v>
      </c>
      <c r="AK71" s="28">
        <f t="shared" si="5"/>
        <v>31.846666666666668</v>
      </c>
      <c r="AL71" s="28">
        <f t="shared" si="5"/>
        <v>15.923333333333334</v>
      </c>
      <c r="AM71" s="28">
        <f t="shared" si="5"/>
        <v>7.9616666666666669</v>
      </c>
      <c r="AT71" s="1">
        <v>135</v>
      </c>
      <c r="AU71" s="1">
        <v>62</v>
      </c>
    </row>
    <row r="72" spans="14:48" ht="15.75" x14ac:dyDescent="0.25">
      <c r="N72" s="27">
        <v>6200</v>
      </c>
      <c r="U72" s="1">
        <v>160</v>
      </c>
      <c r="V72" s="1">
        <v>67</v>
      </c>
      <c r="AA72" s="27">
        <v>6200</v>
      </c>
      <c r="AB72" s="28">
        <f t="shared" si="5"/>
        <v>171.04741935483869</v>
      </c>
      <c r="AC72" s="28">
        <f t="shared" si="5"/>
        <v>154.09677419354838</v>
      </c>
      <c r="AD72" s="28">
        <f t="shared" si="5"/>
        <v>138.68709677419355</v>
      </c>
      <c r="AE72" s="28">
        <f t="shared" si="5"/>
        <v>123.27741935483871</v>
      </c>
      <c r="AF72" s="28">
        <f t="shared" si="5"/>
        <v>107.86774193548386</v>
      </c>
      <c r="AG72" s="28">
        <f t="shared" si="5"/>
        <v>92.458064516129042</v>
      </c>
      <c r="AH72" s="28">
        <f t="shared" si="5"/>
        <v>77.048387096774192</v>
      </c>
      <c r="AI72" s="28">
        <f t="shared" si="5"/>
        <v>61.638709677419357</v>
      </c>
      <c r="AJ72" s="28">
        <f t="shared" si="5"/>
        <v>46.229032258064521</v>
      </c>
      <c r="AK72" s="28">
        <f t="shared" si="5"/>
        <v>30.819354838709678</v>
      </c>
      <c r="AL72" s="28">
        <f t="shared" si="5"/>
        <v>15.409677419354839</v>
      </c>
      <c r="AM72" s="28">
        <f t="shared" si="5"/>
        <v>7.7048387096774196</v>
      </c>
      <c r="AT72" s="1">
        <v>160</v>
      </c>
      <c r="AU72" s="1">
        <v>67</v>
      </c>
    </row>
    <row r="73" spans="14:48" ht="15.75" x14ac:dyDescent="0.25">
      <c r="N73" s="27">
        <v>6400</v>
      </c>
      <c r="V73" s="1">
        <v>72</v>
      </c>
      <c r="AA73" s="27">
        <v>6400</v>
      </c>
      <c r="AB73" s="28">
        <f t="shared" si="5"/>
        <v>165.70218750000001</v>
      </c>
      <c r="AC73" s="28">
        <f t="shared" si="5"/>
        <v>149.28125</v>
      </c>
      <c r="AD73" s="28">
        <f t="shared" si="5"/>
        <v>134.35312500000001</v>
      </c>
      <c r="AE73" s="28">
        <f t="shared" si="5"/>
        <v>119.42500000000001</v>
      </c>
      <c r="AF73" s="28">
        <f t="shared" si="5"/>
        <v>104.49687499999999</v>
      </c>
      <c r="AG73" s="28">
        <f t="shared" si="5"/>
        <v>89.568749999999994</v>
      </c>
      <c r="AH73" s="28">
        <f t="shared" si="5"/>
        <v>74.640625</v>
      </c>
      <c r="AI73" s="28">
        <f t="shared" si="5"/>
        <v>59.712500000000006</v>
      </c>
      <c r="AJ73" s="28">
        <f t="shared" si="5"/>
        <v>44.784374999999997</v>
      </c>
      <c r="AK73" s="28">
        <f t="shared" si="5"/>
        <v>29.856250000000003</v>
      </c>
      <c r="AL73" s="28">
        <f t="shared" si="5"/>
        <v>14.928125000000001</v>
      </c>
      <c r="AM73" s="28">
        <f t="shared" si="5"/>
        <v>7.4640625000000007</v>
      </c>
      <c r="AU73" s="1">
        <v>72</v>
      </c>
    </row>
    <row r="74" spans="14:48" ht="15.75" x14ac:dyDescent="0.25">
      <c r="N74" s="27">
        <v>6500</v>
      </c>
      <c r="V74" s="1">
        <v>79</v>
      </c>
      <c r="AA74" s="27">
        <v>6500</v>
      </c>
      <c r="AB74" s="28">
        <f t="shared" si="5"/>
        <v>163.15292307692306</v>
      </c>
      <c r="AC74" s="28">
        <f t="shared" si="5"/>
        <v>146.98461538461538</v>
      </c>
      <c r="AD74" s="28">
        <f t="shared" si="5"/>
        <v>132.28615384615384</v>
      </c>
      <c r="AE74" s="28">
        <f t="shared" si="5"/>
        <v>117.58769230769231</v>
      </c>
      <c r="AF74" s="28">
        <f t="shared" si="5"/>
        <v>102.88923076923076</v>
      </c>
      <c r="AG74" s="28">
        <f t="shared" si="5"/>
        <v>88.190769230769234</v>
      </c>
      <c r="AH74" s="28">
        <f t="shared" si="5"/>
        <v>73.492307692307691</v>
      </c>
      <c r="AI74" s="28">
        <f t="shared" si="5"/>
        <v>58.793846153846154</v>
      </c>
      <c r="AJ74" s="28">
        <f t="shared" si="5"/>
        <v>44.095384615384617</v>
      </c>
      <c r="AK74" s="28">
        <f t="shared" si="5"/>
        <v>29.396923076923077</v>
      </c>
      <c r="AL74" s="28">
        <f t="shared" si="5"/>
        <v>14.698461538461538</v>
      </c>
      <c r="AM74" s="28">
        <f t="shared" si="5"/>
        <v>7.3492307692307692</v>
      </c>
      <c r="AU74" s="1">
        <v>79</v>
      </c>
    </row>
    <row r="75" spans="14:48" ht="15.75" x14ac:dyDescent="0.25">
      <c r="N75" s="27"/>
    </row>
    <row r="81" ht="18" customHeight="1" x14ac:dyDescent="0.25"/>
  </sheetData>
  <mergeCells count="3">
    <mergeCell ref="A1:M2"/>
    <mergeCell ref="Q3:R4"/>
    <mergeCell ref="F18:M19"/>
  </mergeCells>
  <pageMargins left="0.25" right="0.25" top="0.75" bottom="0.75" header="0.3" footer="0.3"/>
  <pageSetup paperSize="9" scale="69" fitToHeight="0" orientation="portrait" r:id="rId1"/>
  <headerFooter>
    <oddHeader>&amp;R&amp;"Calibri"&amp;10&amp;K000000&amp;1#_x000D_&amp;"Arial"&amp;11&amp;K000000&amp;"Arial"&amp;11&amp;I000000&amp;"Arial"&amp;11&amp;I000000&amp;"Arial"&amp;11&amp;I000000&amp;"Arial"&amp;11&amp;I000000&amp;"Arial"&amp;11&amp;I000000&amp;"Arial"&amp;11&amp;I000000&amp;"Arial"&amp;11&amp;I000000&amp;"Arial"&amp;11&amp;I000000&amp;"Arial"&amp;11&amp;I000000&amp;O</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4.9989318521683403E-2"/>
  </sheetPr>
  <dimension ref="A1:L49"/>
  <sheetViews>
    <sheetView view="pageBreakPreview" zoomScaleNormal="115" zoomScaleSheetLayoutView="100" workbookViewId="0">
      <selection activeCell="C28" sqref="C28"/>
    </sheetView>
  </sheetViews>
  <sheetFormatPr baseColWidth="10" defaultRowHeight="15" x14ac:dyDescent="0.25"/>
  <cols>
    <col min="1" max="1" width="10.85546875" customWidth="1"/>
    <col min="2" max="6" width="14.42578125" customWidth="1"/>
    <col min="7" max="7" width="14" customWidth="1"/>
    <col min="9" max="12" width="21.28515625" customWidth="1"/>
  </cols>
  <sheetData>
    <row r="1" spans="1:12" x14ac:dyDescent="0.25">
      <c r="A1" s="314" t="s">
        <v>29</v>
      </c>
      <c r="B1" s="314"/>
      <c r="C1" s="314"/>
      <c r="D1" s="314"/>
      <c r="E1" s="314"/>
      <c r="F1" s="314"/>
      <c r="G1" s="315"/>
    </row>
    <row r="2" spans="1:12" x14ac:dyDescent="0.25">
      <c r="A2" s="316"/>
      <c r="B2" s="316"/>
      <c r="C2" s="316"/>
      <c r="D2" s="316"/>
      <c r="E2" s="316"/>
      <c r="F2" s="316"/>
      <c r="G2" s="317"/>
    </row>
    <row r="3" spans="1:12" x14ac:dyDescent="0.25">
      <c r="A3" s="1"/>
      <c r="B3" s="319" t="s">
        <v>42</v>
      </c>
      <c r="C3" s="319"/>
      <c r="D3" s="319"/>
      <c r="E3" s="319"/>
      <c r="F3" s="319"/>
      <c r="G3" s="45"/>
    </row>
    <row r="4" spans="1:12" ht="18" customHeight="1" x14ac:dyDescent="0.25">
      <c r="A4" s="1"/>
      <c r="B4" s="319"/>
      <c r="C4" s="319"/>
      <c r="D4" s="319"/>
      <c r="E4" s="319"/>
      <c r="F4" s="319"/>
      <c r="G4" s="45"/>
    </row>
    <row r="5" spans="1:12" ht="18" customHeight="1" x14ac:dyDescent="0.25">
      <c r="A5" s="281"/>
      <c r="B5" s="82"/>
      <c r="C5" s="82"/>
      <c r="D5" s="82"/>
      <c r="E5" s="82"/>
      <c r="F5" s="66" t="s">
        <v>37</v>
      </c>
      <c r="G5" s="33"/>
    </row>
    <row r="6" spans="1:12" ht="16.5" customHeight="1" x14ac:dyDescent="0.25">
      <c r="A6" s="320" t="s">
        <v>25</v>
      </c>
      <c r="B6" s="311" t="s">
        <v>179</v>
      </c>
      <c r="C6" s="311"/>
      <c r="D6" s="311"/>
      <c r="E6" s="311"/>
      <c r="F6" s="321"/>
      <c r="G6" s="318">
        <v>0.5</v>
      </c>
      <c r="I6" s="311"/>
      <c r="J6" s="311"/>
      <c r="K6" s="311"/>
      <c r="L6" s="311"/>
    </row>
    <row r="7" spans="1:12" ht="16.5" customHeight="1" x14ac:dyDescent="0.25">
      <c r="A7" s="320"/>
      <c r="B7" s="311"/>
      <c r="C7" s="311"/>
      <c r="D7" s="311"/>
      <c r="E7" s="311"/>
      <c r="F7" s="321"/>
      <c r="G7" s="318"/>
      <c r="I7" s="311"/>
      <c r="J7" s="311"/>
      <c r="K7" s="311"/>
      <c r="L7" s="311"/>
    </row>
    <row r="8" spans="1:12" ht="16.5" customHeight="1" x14ac:dyDescent="0.25">
      <c r="A8" s="320" t="s">
        <v>26</v>
      </c>
      <c r="B8" s="311" t="s">
        <v>171</v>
      </c>
      <c r="C8" s="311"/>
      <c r="D8" s="311"/>
      <c r="E8" s="311"/>
      <c r="F8" s="322"/>
      <c r="G8" s="318">
        <v>0.5</v>
      </c>
    </row>
    <row r="9" spans="1:12" ht="16.5" customHeight="1" x14ac:dyDescent="0.25">
      <c r="A9" s="320"/>
      <c r="B9" s="311"/>
      <c r="C9" s="311"/>
      <c r="D9" s="311"/>
      <c r="E9" s="311"/>
      <c r="F9" s="322"/>
      <c r="G9" s="318"/>
    </row>
    <row r="10" spans="1:12" ht="16.5" customHeight="1" x14ac:dyDescent="0.25">
      <c r="A10" s="320" t="s">
        <v>27</v>
      </c>
      <c r="B10" s="311" t="s">
        <v>168</v>
      </c>
      <c r="C10" s="311"/>
      <c r="D10" s="311"/>
      <c r="E10" s="311"/>
      <c r="F10" s="321"/>
      <c r="G10" s="318">
        <v>0.5</v>
      </c>
    </row>
    <row r="11" spans="1:12" ht="16.5" customHeight="1" x14ac:dyDescent="0.25">
      <c r="A11" s="320"/>
      <c r="B11" s="311"/>
      <c r="C11" s="311"/>
      <c r="D11" s="311"/>
      <c r="E11" s="311"/>
      <c r="F11" s="321"/>
      <c r="G11" s="318"/>
    </row>
    <row r="12" spans="1:12" ht="16.5" customHeight="1" x14ac:dyDescent="0.25">
      <c r="A12" s="320" t="s">
        <v>28</v>
      </c>
      <c r="B12" s="311" t="s">
        <v>192</v>
      </c>
      <c r="C12" s="311"/>
      <c r="D12" s="311"/>
      <c r="E12" s="311"/>
      <c r="F12" s="321"/>
      <c r="G12" s="318">
        <v>0.5</v>
      </c>
    </row>
    <row r="13" spans="1:12" ht="16.5" customHeight="1" x14ac:dyDescent="0.25">
      <c r="A13" s="320"/>
      <c r="B13" s="311"/>
      <c r="C13" s="311"/>
      <c r="D13" s="311"/>
      <c r="E13" s="311"/>
      <c r="F13" s="321"/>
      <c r="G13" s="318"/>
    </row>
    <row r="14" spans="1:12" ht="16.5" customHeight="1" x14ac:dyDescent="0.25">
      <c r="A14" s="320" t="s">
        <v>33</v>
      </c>
      <c r="B14" s="311" t="s">
        <v>169</v>
      </c>
      <c r="C14" s="311"/>
      <c r="D14" s="311"/>
      <c r="E14" s="311"/>
      <c r="F14" s="321"/>
      <c r="G14" s="318">
        <v>0.5</v>
      </c>
    </row>
    <row r="15" spans="1:12" ht="16.5" customHeight="1" x14ac:dyDescent="0.25">
      <c r="A15" s="320"/>
      <c r="B15" s="311"/>
      <c r="C15" s="311"/>
      <c r="D15" s="311"/>
      <c r="E15" s="311"/>
      <c r="F15" s="321"/>
      <c r="G15" s="318"/>
    </row>
    <row r="16" spans="1:12" ht="16.5" customHeight="1" x14ac:dyDescent="0.25">
      <c r="A16" s="320" t="s">
        <v>34</v>
      </c>
      <c r="B16" s="311" t="s">
        <v>172</v>
      </c>
      <c r="C16" s="311"/>
      <c r="D16" s="311"/>
      <c r="E16" s="311"/>
      <c r="F16" s="321"/>
      <c r="G16" s="318">
        <v>0.5</v>
      </c>
    </row>
    <row r="17" spans="1:7" ht="16.5" customHeight="1" x14ac:dyDescent="0.25">
      <c r="A17" s="320"/>
      <c r="B17" s="311"/>
      <c r="C17" s="311"/>
      <c r="D17" s="311"/>
      <c r="E17" s="311"/>
      <c r="F17" s="321"/>
      <c r="G17" s="318"/>
    </row>
    <row r="18" spans="1:7" ht="16.5" customHeight="1" x14ac:dyDescent="0.25">
      <c r="A18" s="320" t="s">
        <v>35</v>
      </c>
      <c r="B18" s="311" t="s">
        <v>170</v>
      </c>
      <c r="C18" s="311"/>
      <c r="D18" s="311"/>
      <c r="E18" s="311"/>
      <c r="F18" s="321"/>
      <c r="G18" s="318">
        <v>0.5</v>
      </c>
    </row>
    <row r="19" spans="1:7" ht="16.5" customHeight="1" x14ac:dyDescent="0.25">
      <c r="A19" s="320"/>
      <c r="B19" s="311"/>
      <c r="C19" s="311"/>
      <c r="D19" s="311"/>
      <c r="E19" s="311"/>
      <c r="F19" s="321"/>
      <c r="G19" s="318"/>
    </row>
    <row r="20" spans="1:7" ht="16.5" customHeight="1" x14ac:dyDescent="0.25">
      <c r="A20" s="320" t="s">
        <v>36</v>
      </c>
      <c r="B20" s="311" t="s">
        <v>193</v>
      </c>
      <c r="C20" s="311"/>
      <c r="D20" s="311"/>
      <c r="E20" s="311"/>
      <c r="F20" s="322"/>
      <c r="G20" s="318">
        <v>0.5</v>
      </c>
    </row>
    <row r="21" spans="1:7" ht="12.75" customHeight="1" x14ac:dyDescent="0.25">
      <c r="A21" s="320"/>
      <c r="B21" s="311"/>
      <c r="C21" s="311"/>
      <c r="D21" s="311"/>
      <c r="E21" s="311"/>
      <c r="F21" s="322"/>
      <c r="G21" s="318"/>
    </row>
    <row r="22" spans="1:7" ht="15" customHeight="1" x14ac:dyDescent="0.25">
      <c r="A22" s="293"/>
      <c r="B22" s="109"/>
      <c r="C22" s="109"/>
      <c r="D22" s="109"/>
      <c r="E22" s="109"/>
      <c r="F22" s="132"/>
      <c r="G22" s="131"/>
    </row>
    <row r="23" spans="1:7" ht="15" customHeight="1" thickBot="1" x14ac:dyDescent="0.3">
      <c r="A23" s="294"/>
      <c r="B23" s="133"/>
      <c r="C23" s="133"/>
      <c r="D23" s="133"/>
      <c r="E23" s="133"/>
      <c r="F23" s="140" t="s">
        <v>44</v>
      </c>
      <c r="G23" s="88">
        <f>SUM(G6:G21)</f>
        <v>4</v>
      </c>
    </row>
    <row r="24" spans="1:7" ht="15" customHeight="1" x14ac:dyDescent="0.25">
      <c r="A24" s="312"/>
      <c r="B24" s="312"/>
      <c r="C24" s="312"/>
      <c r="D24" s="312"/>
      <c r="E24" s="312"/>
      <c r="F24" s="312"/>
      <c r="G24" s="45"/>
    </row>
    <row r="25" spans="1:7" ht="15" customHeight="1" x14ac:dyDescent="0.25">
      <c r="A25" s="313"/>
      <c r="B25" s="313"/>
      <c r="C25" s="313"/>
      <c r="D25" s="313"/>
      <c r="E25" s="313"/>
      <c r="F25" s="313"/>
      <c r="G25" s="45"/>
    </row>
    <row r="26" spans="1:7" ht="15" customHeight="1" x14ac:dyDescent="0.25">
      <c r="A26" s="1"/>
      <c r="B26" s="281"/>
      <c r="C26" s="281"/>
      <c r="D26" s="281"/>
      <c r="E26" s="281"/>
      <c r="F26" s="281"/>
      <c r="G26" s="45"/>
    </row>
    <row r="27" spans="1:7" x14ac:dyDescent="0.25">
      <c r="A27" s="1"/>
      <c r="B27" s="281"/>
      <c r="C27" s="281"/>
      <c r="D27" s="281"/>
      <c r="E27" s="281"/>
      <c r="F27" s="281"/>
      <c r="G27" s="45"/>
    </row>
    <row r="28" spans="1:7" x14ac:dyDescent="0.25">
      <c r="A28" s="1"/>
      <c r="B28" s="281"/>
      <c r="C28" s="281"/>
      <c r="D28" s="281"/>
      <c r="E28" s="281"/>
      <c r="F28" s="281"/>
      <c r="G28" s="45"/>
    </row>
    <row r="29" spans="1:7" x14ac:dyDescent="0.25">
      <c r="A29" s="1"/>
      <c r="B29" s="281"/>
      <c r="C29" s="281"/>
      <c r="D29" s="281"/>
      <c r="E29" s="281"/>
      <c r="F29" s="281"/>
      <c r="G29" s="45"/>
    </row>
    <row r="30" spans="1:7" x14ac:dyDescent="0.25">
      <c r="A30" s="1"/>
      <c r="B30" s="281"/>
      <c r="C30" s="281"/>
      <c r="D30" s="281"/>
      <c r="E30" s="281"/>
      <c r="F30" s="281"/>
      <c r="G30" s="45"/>
    </row>
    <row r="31" spans="1:7" x14ac:dyDescent="0.25">
      <c r="A31" s="1"/>
      <c r="B31" s="281"/>
      <c r="C31" s="281"/>
      <c r="D31" s="281"/>
      <c r="E31" s="281"/>
      <c r="F31" s="281"/>
      <c r="G31" s="45"/>
    </row>
    <row r="32" spans="1:7" ht="15" customHeight="1" x14ac:dyDescent="0.25">
      <c r="A32" s="1"/>
      <c r="B32" s="281"/>
      <c r="C32" s="281"/>
      <c r="D32" s="281"/>
      <c r="E32" s="281"/>
      <c r="F32" s="281"/>
      <c r="G32" s="45"/>
    </row>
    <row r="33" spans="1:7" x14ac:dyDescent="0.25">
      <c r="A33" s="1"/>
      <c r="B33" s="281"/>
      <c r="C33" s="281"/>
      <c r="D33" s="281"/>
      <c r="E33" s="281"/>
      <c r="F33" s="281"/>
      <c r="G33" s="45"/>
    </row>
    <row r="34" spans="1:7" x14ac:dyDescent="0.25">
      <c r="A34" s="1"/>
      <c r="B34" s="281"/>
      <c r="C34" s="281"/>
      <c r="D34" s="281"/>
      <c r="E34" s="281"/>
      <c r="F34" s="281"/>
      <c r="G34" s="45"/>
    </row>
    <row r="35" spans="1:7" x14ac:dyDescent="0.25">
      <c r="A35" s="1"/>
      <c r="B35" s="1"/>
      <c r="C35" s="1"/>
      <c r="D35" s="1"/>
      <c r="E35" s="1"/>
      <c r="F35" s="1"/>
      <c r="G35" s="45"/>
    </row>
    <row r="36" spans="1:7" x14ac:dyDescent="0.25">
      <c r="A36" s="1"/>
      <c r="B36" s="1"/>
      <c r="C36" s="1"/>
      <c r="D36" s="1"/>
      <c r="E36" s="1"/>
      <c r="F36" s="1"/>
      <c r="G36" s="45"/>
    </row>
    <row r="37" spans="1:7" x14ac:dyDescent="0.25">
      <c r="A37" s="1"/>
      <c r="B37" s="1"/>
      <c r="C37" s="1"/>
      <c r="D37" s="1"/>
      <c r="E37" s="1"/>
      <c r="F37" s="1"/>
      <c r="G37" s="45"/>
    </row>
    <row r="38" spans="1:7" x14ac:dyDescent="0.25">
      <c r="A38" s="1"/>
      <c r="B38" s="1"/>
      <c r="C38" s="1"/>
      <c r="D38" s="1"/>
      <c r="E38" s="1"/>
      <c r="F38" s="1"/>
      <c r="G38" s="45"/>
    </row>
    <row r="39" spans="1:7" x14ac:dyDescent="0.25">
      <c r="A39" s="1"/>
      <c r="B39" s="1"/>
      <c r="C39" s="1"/>
      <c r="D39" s="1"/>
      <c r="E39" s="1"/>
      <c r="F39" s="1"/>
      <c r="G39" s="45"/>
    </row>
    <row r="40" spans="1:7" x14ac:dyDescent="0.25">
      <c r="A40" s="1"/>
      <c r="B40" s="1"/>
      <c r="C40" s="1"/>
      <c r="D40" s="1"/>
      <c r="E40" s="1"/>
      <c r="F40" s="1"/>
      <c r="G40" s="45"/>
    </row>
    <row r="41" spans="1:7" x14ac:dyDescent="0.25">
      <c r="A41" s="1"/>
      <c r="B41" s="1"/>
      <c r="C41" s="1"/>
      <c r="D41" s="1"/>
      <c r="E41" s="1"/>
      <c r="F41" s="1"/>
      <c r="G41" s="45"/>
    </row>
    <row r="42" spans="1:7" x14ac:dyDescent="0.25">
      <c r="A42" s="1"/>
      <c r="B42" s="1"/>
      <c r="C42" s="1"/>
      <c r="D42" s="1"/>
      <c r="E42" s="1"/>
      <c r="F42" s="1"/>
      <c r="G42" s="45"/>
    </row>
    <row r="43" spans="1:7" x14ac:dyDescent="0.25">
      <c r="A43" s="1"/>
      <c r="B43" s="1"/>
      <c r="C43" s="1"/>
      <c r="D43" s="1"/>
      <c r="E43" s="1"/>
      <c r="F43" s="1"/>
      <c r="G43" s="45"/>
    </row>
    <row r="44" spans="1:7" x14ac:dyDescent="0.25">
      <c r="A44" s="1"/>
      <c r="B44" s="1"/>
      <c r="C44" s="1"/>
      <c r="D44" s="1"/>
      <c r="E44" s="1"/>
      <c r="F44" s="1"/>
      <c r="G44" s="45"/>
    </row>
    <row r="45" spans="1:7" ht="70.5" thickBot="1" x14ac:dyDescent="0.3">
      <c r="A45" s="38"/>
      <c r="B45" s="310"/>
      <c r="C45" s="310"/>
      <c r="D45" s="310"/>
      <c r="E45" s="310"/>
      <c r="F45" s="310"/>
      <c r="G45" s="282"/>
    </row>
    <row r="46" spans="1:7" ht="17.25" customHeight="1" x14ac:dyDescent="0.25"/>
    <row r="47" spans="1:7" ht="15" customHeight="1" x14ac:dyDescent="0.25"/>
    <row r="48" spans="1:7" ht="15" customHeight="1" x14ac:dyDescent="0.25"/>
    <row r="49" ht="15" customHeight="1" x14ac:dyDescent="0.25"/>
  </sheetData>
  <mergeCells count="37">
    <mergeCell ref="F18:F19"/>
    <mergeCell ref="G18:G19"/>
    <mergeCell ref="F20:F21"/>
    <mergeCell ref="B14:E15"/>
    <mergeCell ref="B16:E17"/>
    <mergeCell ref="A1:G2"/>
    <mergeCell ref="G20:G21"/>
    <mergeCell ref="B3:F4"/>
    <mergeCell ref="A6:A7"/>
    <mergeCell ref="F6:F7"/>
    <mergeCell ref="G6:G7"/>
    <mergeCell ref="A8:A9"/>
    <mergeCell ref="F8:F9"/>
    <mergeCell ref="G8:G9"/>
    <mergeCell ref="A10:A11"/>
    <mergeCell ref="A20:A21"/>
    <mergeCell ref="F10:F11"/>
    <mergeCell ref="G10:G11"/>
    <mergeCell ref="A12:A13"/>
    <mergeCell ref="F12:F13"/>
    <mergeCell ref="G12:G13"/>
    <mergeCell ref="B45:F45"/>
    <mergeCell ref="I6:L7"/>
    <mergeCell ref="B6:E7"/>
    <mergeCell ref="B8:E9"/>
    <mergeCell ref="B10:E11"/>
    <mergeCell ref="B12:E13"/>
    <mergeCell ref="A24:F25"/>
    <mergeCell ref="A14:A15"/>
    <mergeCell ref="F14:F15"/>
    <mergeCell ref="G14:G15"/>
    <mergeCell ref="B20:E21"/>
    <mergeCell ref="A16:A17"/>
    <mergeCell ref="F16:F17"/>
    <mergeCell ref="G16:G17"/>
    <mergeCell ref="A18:A19"/>
    <mergeCell ref="B18:E19"/>
  </mergeCells>
  <pageMargins left="0.7" right="0.7" top="0.75" bottom="0.75" header="0.3" footer="0.3"/>
  <pageSetup paperSize="9" scale="82" fitToHeight="2" orientation="portrait" r:id="rId1"/>
  <headerFooter>
    <oddHeader>&amp;R&amp;"Calibri"&amp;10&amp;K000000&amp;1#_x000D_&amp;"Arial"&amp;11&amp;K000000&amp;"Arial"&amp;11&amp;I000000&amp;"Arial"&amp;11&amp;I000000&amp;"Arial"&amp;11&amp;I000000&amp;"Arial"&amp;11&amp;I000000&amp;"Arial"&amp;11&amp;I000000&amp;"Arial"&amp;11&amp;I000000&amp;"Arial"&amp;11&amp;I000000&amp;"Arial"&amp;11&amp;I000000&amp;"Arial"&amp;11&amp;I000000&amp;O</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4.9989318521683403E-2"/>
  </sheetPr>
  <dimension ref="A1:V104"/>
  <sheetViews>
    <sheetView tabSelected="1" view="pageBreakPreview" topLeftCell="A34" zoomScaleNormal="115" zoomScaleSheetLayoutView="100" workbookViewId="0">
      <selection activeCell="F56" sqref="F56"/>
    </sheetView>
  </sheetViews>
  <sheetFormatPr baseColWidth="10" defaultColWidth="11.42578125" defaultRowHeight="15" x14ac:dyDescent="0.25"/>
  <cols>
    <col min="2" max="2" width="12.28515625" customWidth="1"/>
    <col min="3" max="3" width="17" customWidth="1"/>
    <col min="4" max="4" width="18.5703125" customWidth="1"/>
    <col min="6" max="6" width="12.85546875" customWidth="1"/>
    <col min="10" max="10" width="7.7109375" customWidth="1"/>
    <col min="11" max="12" width="12.140625" style="53" customWidth="1"/>
    <col min="13" max="13" width="11.42578125" style="53"/>
    <col min="14" max="14" width="11.42578125" style="166"/>
  </cols>
  <sheetData>
    <row r="1" spans="1:21" ht="15" customHeight="1" x14ac:dyDescent="0.25">
      <c r="A1" s="323" t="s">
        <v>30</v>
      </c>
      <c r="B1" s="324"/>
      <c r="C1" s="324"/>
      <c r="D1" s="324"/>
      <c r="E1" s="324"/>
      <c r="F1" s="324"/>
      <c r="G1" s="325"/>
    </row>
    <row r="2" spans="1:21" ht="15" customHeight="1" x14ac:dyDescent="0.25">
      <c r="A2" s="326"/>
      <c r="B2" s="327"/>
      <c r="C2" s="327"/>
      <c r="D2" s="327"/>
      <c r="E2" s="327"/>
      <c r="F2" s="327"/>
      <c r="G2" s="328"/>
    </row>
    <row r="3" spans="1:21" ht="15.75" customHeight="1" x14ac:dyDescent="0.25">
      <c r="A3" s="329" t="s">
        <v>221</v>
      </c>
      <c r="B3" s="311"/>
      <c r="C3" s="311"/>
      <c r="D3" s="311"/>
      <c r="E3" s="311"/>
      <c r="F3" s="311"/>
      <c r="G3" s="330"/>
    </row>
    <row r="4" spans="1:21" ht="15.75" customHeight="1" x14ac:dyDescent="0.25">
      <c r="A4" s="329"/>
      <c r="B4" s="311"/>
      <c r="C4" s="311"/>
      <c r="D4" s="311"/>
      <c r="E4" s="311"/>
      <c r="F4" s="311"/>
      <c r="G4" s="330"/>
      <c r="J4" s="53" t="s">
        <v>131</v>
      </c>
      <c r="K4" s="53" t="s">
        <v>174</v>
      </c>
      <c r="L4" s="53" t="s">
        <v>197</v>
      </c>
      <c r="M4" s="166" t="s">
        <v>175</v>
      </c>
      <c r="N4" t="s">
        <v>195</v>
      </c>
      <c r="O4" t="s">
        <v>196</v>
      </c>
    </row>
    <row r="5" spans="1:21" ht="15.75" customHeight="1" x14ac:dyDescent="0.25">
      <c r="A5" s="329"/>
      <c r="B5" s="311"/>
      <c r="C5" s="311"/>
      <c r="D5" s="311"/>
      <c r="E5" s="311"/>
      <c r="F5" s="311"/>
      <c r="G5" s="330"/>
      <c r="J5" s="53">
        <v>1</v>
      </c>
      <c r="K5" s="242">
        <f t="shared" ref="K5:K36" si="0">180/PI()*ATAN(J5/100)</f>
        <v>0.57293869768348593</v>
      </c>
      <c r="L5" s="268">
        <f>K5/180*PI()</f>
        <v>9.9996666866652376E-3</v>
      </c>
      <c r="M5" s="243">
        <f t="shared" ref="M5:M36" si="1">COS(K5*PI()/180)</f>
        <v>0.99995000374968757</v>
      </c>
      <c r="N5" s="243">
        <f t="shared" ref="N5:N36" si="2">SIN(K5*PI()/180)</f>
        <v>9.9995000374968751E-3</v>
      </c>
      <c r="O5" s="243">
        <f>TAN(K5*PI()/180)</f>
        <v>0.01</v>
      </c>
    </row>
    <row r="6" spans="1:21" ht="15.75" customHeight="1" x14ac:dyDescent="0.25">
      <c r="A6" s="329"/>
      <c r="B6" s="311"/>
      <c r="C6" s="311"/>
      <c r="D6" s="311"/>
      <c r="E6" s="311"/>
      <c r="F6" s="311"/>
      <c r="G6" s="330"/>
      <c r="J6" s="53">
        <v>2</v>
      </c>
      <c r="K6" s="242">
        <f t="shared" si="0"/>
        <v>1.1457628381751035</v>
      </c>
      <c r="L6" s="268">
        <f t="shared" ref="L6:L69" si="3">K6/180*PI()</f>
        <v>1.9997333973150535E-2</v>
      </c>
      <c r="M6" s="243">
        <f t="shared" si="1"/>
        <v>0.99980005998000698</v>
      </c>
      <c r="N6" s="243">
        <f t="shared" si="2"/>
        <v>1.9996001199600138E-2</v>
      </c>
      <c r="O6" s="243">
        <f t="shared" ref="O6:O69" si="4">TAN(K6*PI()/180)</f>
        <v>1.9999999999999997E-2</v>
      </c>
    </row>
    <row r="7" spans="1:21" ht="15.75" customHeight="1" x14ac:dyDescent="0.25">
      <c r="A7" s="329"/>
      <c r="B7" s="311"/>
      <c r="C7" s="311"/>
      <c r="D7" s="311"/>
      <c r="E7" s="311"/>
      <c r="F7" s="311"/>
      <c r="G7" s="330"/>
      <c r="J7" s="53">
        <v>3</v>
      </c>
      <c r="K7" s="242">
        <f t="shared" si="0"/>
        <v>1.7183580016554572</v>
      </c>
      <c r="L7" s="268">
        <f t="shared" si="3"/>
        <v>2.99910048568779E-2</v>
      </c>
      <c r="M7" s="243">
        <f t="shared" si="1"/>
        <v>0.99955030352236673</v>
      </c>
      <c r="N7" s="243">
        <f t="shared" si="2"/>
        <v>2.9986509105671005E-2</v>
      </c>
      <c r="O7" s="243">
        <f t="shared" si="4"/>
        <v>0.03</v>
      </c>
    </row>
    <row r="8" spans="1:21" ht="15.75" customHeight="1" x14ac:dyDescent="0.25">
      <c r="A8" s="329"/>
      <c r="B8" s="311"/>
      <c r="C8" s="311"/>
      <c r="D8" s="311"/>
      <c r="E8" s="311"/>
      <c r="F8" s="311"/>
      <c r="G8" s="330"/>
      <c r="J8" s="53">
        <v>4</v>
      </c>
      <c r="K8" s="242">
        <f t="shared" si="0"/>
        <v>2.2906100426385296</v>
      </c>
      <c r="L8" s="268">
        <f t="shared" si="3"/>
        <v>3.9978687123290044E-2</v>
      </c>
      <c r="M8" s="243">
        <f t="shared" si="1"/>
        <v>0.99920095872178938</v>
      </c>
      <c r="N8" s="243">
        <f t="shared" si="2"/>
        <v>3.9968038348871575E-2</v>
      </c>
      <c r="O8" s="243">
        <f t="shared" si="4"/>
        <v>3.9999999999999994E-2</v>
      </c>
    </row>
    <row r="9" spans="1:21" ht="15.75" customHeight="1" x14ac:dyDescent="0.25">
      <c r="A9" s="329"/>
      <c r="B9" s="311"/>
      <c r="C9" s="311"/>
      <c r="D9" s="311"/>
      <c r="E9" s="311"/>
      <c r="F9" s="311"/>
      <c r="G9" s="330"/>
      <c r="J9" s="53">
        <v>5</v>
      </c>
      <c r="K9" s="242">
        <f t="shared" si="0"/>
        <v>2.8624052261117479</v>
      </c>
      <c r="L9" s="268">
        <f t="shared" si="3"/>
        <v>4.9958395721942765E-2</v>
      </c>
      <c r="M9" s="243">
        <f t="shared" si="1"/>
        <v>0.99875233887784465</v>
      </c>
      <c r="N9" s="243">
        <f t="shared" si="2"/>
        <v>4.9937616943892232E-2</v>
      </c>
      <c r="O9" s="243">
        <f t="shared" si="4"/>
        <v>4.9999999999999996E-2</v>
      </c>
    </row>
    <row r="10" spans="1:21" ht="15.75" customHeight="1" x14ac:dyDescent="0.25">
      <c r="A10" s="329"/>
      <c r="B10" s="311"/>
      <c r="C10" s="311"/>
      <c r="D10" s="311"/>
      <c r="E10" s="311"/>
      <c r="F10" s="311"/>
      <c r="G10" s="330"/>
      <c r="J10" s="53">
        <v>6</v>
      </c>
      <c r="K10" s="242">
        <f t="shared" si="0"/>
        <v>3.433630362450522</v>
      </c>
      <c r="L10" s="268">
        <f t="shared" si="3"/>
        <v>5.9928155121207888E-2</v>
      </c>
      <c r="M10" s="243">
        <f t="shared" si="1"/>
        <v>0.9982048454657787</v>
      </c>
      <c r="N10" s="243">
        <f t="shared" si="2"/>
        <v>5.9892290727946725E-2</v>
      </c>
      <c r="O10" s="243">
        <f t="shared" si="4"/>
        <v>6.0000000000000005E-2</v>
      </c>
    </row>
    <row r="11" spans="1:21" ht="15.75" customHeight="1" thickBot="1" x14ac:dyDescent="0.3">
      <c r="A11" s="331"/>
      <c r="B11" s="332"/>
      <c r="C11" s="332"/>
      <c r="D11" s="332"/>
      <c r="E11" s="332"/>
      <c r="F11" s="332"/>
      <c r="G11" s="333"/>
      <c r="J11" s="53">
        <v>7</v>
      </c>
      <c r="K11" s="242">
        <f t="shared" si="0"/>
        <v>4.0041729407093882</v>
      </c>
      <c r="L11" s="268">
        <f t="shared" si="3"/>
        <v>6.9886001634642508E-2</v>
      </c>
      <c r="M11" s="243">
        <f t="shared" si="1"/>
        <v>0.99755896714162673</v>
      </c>
      <c r="N11" s="243">
        <f t="shared" si="2"/>
        <v>6.9829127699913895E-2</v>
      </c>
      <c r="O11" s="243">
        <f t="shared" si="4"/>
        <v>7.0000000000000021E-2</v>
      </c>
    </row>
    <row r="12" spans="1:21" x14ac:dyDescent="0.25">
      <c r="A12" s="134" t="s">
        <v>12</v>
      </c>
      <c r="B12" s="135"/>
      <c r="C12" s="135" t="s">
        <v>38</v>
      </c>
      <c r="D12" s="80" t="s">
        <v>43</v>
      </c>
      <c r="E12" s="68">
        <v>130</v>
      </c>
      <c r="F12" s="115">
        <f>E12/3.6</f>
        <v>36.111111111111107</v>
      </c>
      <c r="G12" s="136"/>
      <c r="J12" s="53">
        <v>8</v>
      </c>
      <c r="K12" s="242">
        <f t="shared" si="0"/>
        <v>4.5739212599008612</v>
      </c>
      <c r="L12" s="268">
        <f t="shared" si="3"/>
        <v>7.9829985712237317E-2</v>
      </c>
      <c r="M12" s="243">
        <f t="shared" si="1"/>
        <v>0.99681527853612495</v>
      </c>
      <c r="N12" s="243">
        <f t="shared" si="2"/>
        <v>7.9745222282890008E-2</v>
      </c>
      <c r="O12" s="243">
        <f t="shared" si="4"/>
        <v>0.08</v>
      </c>
    </row>
    <row r="13" spans="1:21" x14ac:dyDescent="0.25">
      <c r="A13" s="81"/>
      <c r="B13" s="49"/>
      <c r="C13" s="49"/>
      <c r="D13" s="180" t="s">
        <v>113</v>
      </c>
      <c r="E13" s="181">
        <v>0.03</v>
      </c>
      <c r="G13" s="40"/>
      <c r="J13" s="53">
        <v>9</v>
      </c>
      <c r="K13" s="242">
        <f t="shared" si="0"/>
        <v>5.1427645578842416</v>
      </c>
      <c r="L13" s="268">
        <f t="shared" si="3"/>
        <v>8.9758174189950524E-2</v>
      </c>
      <c r="M13" s="243">
        <f t="shared" si="1"/>
        <v>0.99597443884322878</v>
      </c>
      <c r="N13" s="243">
        <f t="shared" si="2"/>
        <v>8.9637699495890594E-2</v>
      </c>
      <c r="O13" s="243">
        <f t="shared" si="4"/>
        <v>0.09</v>
      </c>
    </row>
    <row r="14" spans="1:21" x14ac:dyDescent="0.25">
      <c r="A14" s="81"/>
      <c r="B14" s="49"/>
      <c r="C14" s="29"/>
      <c r="D14" s="29"/>
      <c r="E14" s="29"/>
      <c r="F14" s="62"/>
      <c r="G14" s="33"/>
      <c r="J14" s="53">
        <v>10</v>
      </c>
      <c r="K14" s="242">
        <f t="shared" si="0"/>
        <v>5.710593137499643</v>
      </c>
      <c r="L14" s="268">
        <f t="shared" si="3"/>
        <v>9.9668652491162038E-2</v>
      </c>
      <c r="M14" s="243">
        <f t="shared" si="1"/>
        <v>0.99503719020998915</v>
      </c>
      <c r="N14" s="243">
        <f t="shared" si="2"/>
        <v>9.9503719020998929E-2</v>
      </c>
      <c r="O14" s="243">
        <f t="shared" si="4"/>
        <v>0.1</v>
      </c>
      <c r="R14" s="166" t="s">
        <v>190</v>
      </c>
      <c r="S14" s="166" t="s">
        <v>191</v>
      </c>
    </row>
    <row r="15" spans="1:21" x14ac:dyDescent="0.25">
      <c r="A15" s="81"/>
      <c r="B15" s="49"/>
      <c r="D15" s="39"/>
      <c r="G15" s="41">
        <v>1</v>
      </c>
      <c r="J15" s="53">
        <v>11</v>
      </c>
      <c r="K15" s="242">
        <f t="shared" si="0"/>
        <v>6.2772984895975545</v>
      </c>
      <c r="L15" s="268">
        <f t="shared" si="3"/>
        <v>0.10955952677394434</v>
      </c>
      <c r="M15" s="243">
        <f t="shared" si="1"/>
        <v>0.9940043559354329</v>
      </c>
      <c r="N15" s="243">
        <f t="shared" si="2"/>
        <v>0.10934047915289762</v>
      </c>
      <c r="O15" s="243">
        <f t="shared" si="4"/>
        <v>0.11</v>
      </c>
      <c r="R15" s="166">
        <f>V_F</f>
        <v>130</v>
      </c>
      <c r="S15" s="268">
        <f>v_th</f>
        <v>136.84210526315789</v>
      </c>
    </row>
    <row r="16" spans="1:21" ht="18" x14ac:dyDescent="0.35">
      <c r="A16" s="52"/>
      <c r="B16" s="29" t="s">
        <v>94</v>
      </c>
      <c r="C16" t="str">
        <f>CONCATENATE(0.5,"*",roh_Luft,"*",cw,"*",A,"*(",E12,"/",3.6,")^2")</f>
        <v>0,5*1,18*0,3*2,4*(130/3,6)^2</v>
      </c>
      <c r="G16" s="33"/>
      <c r="J16" s="53">
        <v>12</v>
      </c>
      <c r="K16" s="242">
        <f t="shared" si="0"/>
        <v>6.8427734126309403</v>
      </c>
      <c r="L16" s="268">
        <f t="shared" si="3"/>
        <v>0.11942892601833845</v>
      </c>
      <c r="M16" s="243">
        <f t="shared" si="1"/>
        <v>0.9928768384869221</v>
      </c>
      <c r="N16" s="243">
        <f t="shared" si="2"/>
        <v>0.11914522061843064</v>
      </c>
      <c r="O16" s="243">
        <f t="shared" si="4"/>
        <v>0.12</v>
      </c>
      <c r="P16" s="182" t="s">
        <v>103</v>
      </c>
      <c r="Q16" s="183" t="e">
        <f>S16/S15*3.6*1000</f>
        <v>#REF!</v>
      </c>
      <c r="R16" s="268" t="e">
        <f>R24-R23-R22-R19-R18-R17</f>
        <v>#REF!</v>
      </c>
      <c r="S16" s="242" t="e">
        <f>S24-S23-S22-S19-S18-S17</f>
        <v>#REF!</v>
      </c>
      <c r="U16" s="272" t="e">
        <f>Q16-Q31</f>
        <v>#REF!</v>
      </c>
    </row>
    <row r="17" spans="1:22" ht="18" x14ac:dyDescent="0.35">
      <c r="A17" s="52"/>
      <c r="C17" s="182" t="s">
        <v>94</v>
      </c>
      <c r="D17" s="183">
        <f>0.5*roh_Luft*cw*A*E12^2/3.6^2</f>
        <v>553.94444444444434</v>
      </c>
      <c r="G17" s="41">
        <v>1</v>
      </c>
      <c r="J17" s="53">
        <v>13</v>
      </c>
      <c r="K17" s="242">
        <f t="shared" si="0"/>
        <v>7.4069121284952297</v>
      </c>
      <c r="L17" s="268">
        <f t="shared" si="3"/>
        <v>0.12927500404814307</v>
      </c>
      <c r="M17" s="243">
        <f t="shared" si="1"/>
        <v>0.99165561734323782</v>
      </c>
      <c r="N17" s="243">
        <f t="shared" si="2"/>
        <v>0.12891523025462093</v>
      </c>
      <c r="O17" s="243">
        <f t="shared" si="4"/>
        <v>0.13</v>
      </c>
      <c r="P17" s="182" t="s">
        <v>94</v>
      </c>
      <c r="Q17" s="183">
        <f>0.5*roh_Luft*cw*A*E12^2/3.6^2</f>
        <v>553.94444444444434</v>
      </c>
      <c r="R17" s="268">
        <f>Q17*$R$15/3.6/1000</f>
        <v>20.003549382716045</v>
      </c>
      <c r="S17" s="268">
        <f>Q17*$S$15/3.6/1000</f>
        <v>21.056367771280048</v>
      </c>
      <c r="U17" s="272"/>
    </row>
    <row r="18" spans="1:22" ht="18" x14ac:dyDescent="0.35">
      <c r="A18" s="52"/>
      <c r="C18" s="29"/>
      <c r="D18" s="42"/>
      <c r="G18" s="33"/>
      <c r="J18" s="53">
        <v>14</v>
      </c>
      <c r="K18" s="242">
        <f t="shared" si="0"/>
        <v>7.9696103943213599</v>
      </c>
      <c r="L18" s="268">
        <f t="shared" si="3"/>
        <v>0.13909594148207133</v>
      </c>
      <c r="M18" s="243">
        <f t="shared" si="1"/>
        <v>0.99034174667433017</v>
      </c>
      <c r="N18" s="243">
        <f t="shared" si="2"/>
        <v>0.13864784453440623</v>
      </c>
      <c r="O18" s="243">
        <f t="shared" si="4"/>
        <v>0.14000000000000001</v>
      </c>
      <c r="P18" s="182" t="s">
        <v>95</v>
      </c>
      <c r="Q18" s="183">
        <f>m_F_normal*g_Erdbeschl.*fr</f>
        <v>127.53</v>
      </c>
      <c r="R18" s="268">
        <f t="shared" ref="R18:R22" si="5">Q18*$R$15/3.6/1000</f>
        <v>4.6052499999999998</v>
      </c>
      <c r="S18" s="268">
        <f t="shared" ref="S18:S19" si="6">Q18*$S$15/3.6/1000</f>
        <v>4.8476315789473681</v>
      </c>
      <c r="U18" s="272"/>
    </row>
    <row r="19" spans="1:22" ht="18" x14ac:dyDescent="0.35">
      <c r="A19" s="52"/>
      <c r="C19" s="29"/>
      <c r="D19" s="101"/>
      <c r="G19" s="41">
        <v>1</v>
      </c>
      <c r="J19" s="53">
        <v>15</v>
      </c>
      <c r="K19" s="242">
        <f t="shared" si="0"/>
        <v>8.5307656099481335</v>
      </c>
      <c r="L19" s="268">
        <f t="shared" si="3"/>
        <v>0.14888994760949725</v>
      </c>
      <c r="M19" s="243">
        <f t="shared" si="1"/>
        <v>0.98893635286829751</v>
      </c>
      <c r="N19" s="243">
        <f t="shared" si="2"/>
        <v>0.14834045293024464</v>
      </c>
      <c r="O19" s="243">
        <f t="shared" si="4"/>
        <v>0.15</v>
      </c>
      <c r="P19" s="182" t="s">
        <v>112</v>
      </c>
      <c r="Q19" s="183">
        <f>m_F_normal*g_Erdbeschl.*p</f>
        <v>382.59</v>
      </c>
      <c r="R19" s="268">
        <f t="shared" si="5"/>
        <v>13.815749999999998</v>
      </c>
      <c r="S19" s="268">
        <f t="shared" si="6"/>
        <v>14.542894736842102</v>
      </c>
      <c r="U19" s="272"/>
    </row>
    <row r="20" spans="1:22" ht="18" x14ac:dyDescent="0.35">
      <c r="A20" s="52"/>
      <c r="B20" s="180" t="s">
        <v>95</v>
      </c>
      <c r="C20" s="66" t="str">
        <f>CONCATENATE(m_F_normal,"*",g_Erdbeschl.,"*",fr,"")</f>
        <v>1300*9,81*0,01</v>
      </c>
      <c r="G20" s="33"/>
      <c r="J20" s="53">
        <v>16</v>
      </c>
      <c r="K20" s="242">
        <f t="shared" si="0"/>
        <v>9.0902769208223226</v>
      </c>
      <c r="L20" s="268">
        <f t="shared" si="3"/>
        <v>0.15865526218640141</v>
      </c>
      <c r="M20" s="243">
        <f t="shared" si="1"/>
        <v>0.98744063191670539</v>
      </c>
      <c r="N20" s="243">
        <f t="shared" si="2"/>
        <v>0.15799050110667287</v>
      </c>
      <c r="O20" s="243">
        <f t="shared" si="4"/>
        <v>0.16</v>
      </c>
      <c r="P20" s="182" t="s">
        <v>185</v>
      </c>
      <c r="Q20" s="270" t="e">
        <f>SUM(Q16:Q19)</f>
        <v>#REF!</v>
      </c>
      <c r="R20" s="270"/>
      <c r="S20" s="270"/>
      <c r="U20" s="272" t="e">
        <f t="shared" ref="U20:U23" si="7">Q20-Q35</f>
        <v>#REF!</v>
      </c>
    </row>
    <row r="21" spans="1:22" ht="18" x14ac:dyDescent="0.35">
      <c r="A21" s="52"/>
      <c r="C21" s="182" t="s">
        <v>95</v>
      </c>
      <c r="D21" s="183">
        <f>m_F_normal*g_Erdbeschl.*fr</f>
        <v>127.53</v>
      </c>
      <c r="G21" s="41">
        <v>1</v>
      </c>
      <c r="J21" s="53">
        <v>17</v>
      </c>
      <c r="K21" s="242">
        <f t="shared" si="0"/>
        <v>9.6480453160981572</v>
      </c>
      <c r="L21" s="268">
        <f t="shared" si="3"/>
        <v>0.16839015714752992</v>
      </c>
      <c r="M21" s="243">
        <f t="shared" si="1"/>
        <v>0.9858558466698174</v>
      </c>
      <c r="N21" s="243">
        <f t="shared" si="2"/>
        <v>0.16759549393386894</v>
      </c>
      <c r="O21" s="243">
        <f t="shared" si="4"/>
        <v>0.16999999999999998</v>
      </c>
      <c r="U21" s="272"/>
    </row>
    <row r="22" spans="1:22" ht="18" x14ac:dyDescent="0.35">
      <c r="A22" s="52"/>
      <c r="G22" s="33"/>
      <c r="J22" s="53">
        <v>18</v>
      </c>
      <c r="K22" s="242">
        <f t="shared" si="0"/>
        <v>10.203973721731684</v>
      </c>
      <c r="L22" s="268">
        <f t="shared" si="3"/>
        <v>0.17809293823119754</v>
      </c>
      <c r="M22" s="243">
        <f t="shared" si="1"/>
        <v>0.98418332397369535</v>
      </c>
      <c r="N22" s="243">
        <f t="shared" si="2"/>
        <v>0.17715299831526515</v>
      </c>
      <c r="O22" s="243">
        <f t="shared" si="4"/>
        <v>0.18</v>
      </c>
      <c r="P22" s="182" t="s">
        <v>187</v>
      </c>
      <c r="Q22" s="183">
        <f>D60/V_F*3.6*1000</f>
        <v>71.493691675998562</v>
      </c>
      <c r="R22" s="268">
        <f t="shared" si="5"/>
        <v>2.5817166438555037</v>
      </c>
      <c r="S22" s="268">
        <f>R22</f>
        <v>2.5817166438555037</v>
      </c>
      <c r="U22" s="272">
        <f t="shared" si="7"/>
        <v>0</v>
      </c>
    </row>
    <row r="23" spans="1:22" ht="18" x14ac:dyDescent="0.35">
      <c r="A23" s="52"/>
      <c r="G23" s="41">
        <v>1</v>
      </c>
      <c r="J23" s="53">
        <v>19</v>
      </c>
      <c r="K23" s="242">
        <f t="shared" si="0"/>
        <v>10.757967088390005</v>
      </c>
      <c r="L23" s="268">
        <f t="shared" si="3"/>
        <v>0.18776194651359343</v>
      </c>
      <c r="M23" s="243">
        <f t="shared" si="1"/>
        <v>0.98242445170142201</v>
      </c>
      <c r="N23" s="243">
        <f t="shared" si="2"/>
        <v>0.18666064582327016</v>
      </c>
      <c r="O23" s="243">
        <f t="shared" si="4"/>
        <v>0.18999999999999997</v>
      </c>
      <c r="P23" s="182" t="s">
        <v>188</v>
      </c>
      <c r="Q23" s="183" t="e">
        <f>Q20*(v_th-V_F)/V_F</f>
        <v>#REF!</v>
      </c>
      <c r="R23" s="268" t="e">
        <f>Q23*$R$15/3.6/1000</f>
        <v>#REF!</v>
      </c>
      <c r="S23" s="268"/>
      <c r="U23" s="272" t="e">
        <f t="shared" si="7"/>
        <v>#REF!</v>
      </c>
    </row>
    <row r="24" spans="1:22" ht="18" x14ac:dyDescent="0.35">
      <c r="A24" s="52"/>
      <c r="B24" s="180" t="s">
        <v>112</v>
      </c>
      <c r="C24" s="66" t="str">
        <f>CONCATENATE(m_F_normal,"*",g_Erdbeschl.,"*",p)</f>
        <v>1300*9,81*0,03</v>
      </c>
      <c r="G24" s="33"/>
      <c r="J24" s="53">
        <v>20</v>
      </c>
      <c r="K24" s="242">
        <f t="shared" si="0"/>
        <v>11.309932474020215</v>
      </c>
      <c r="L24" s="268">
        <f t="shared" si="3"/>
        <v>0.1973955598498808</v>
      </c>
      <c r="M24" s="243">
        <f t="shared" si="1"/>
        <v>0.98058067569092011</v>
      </c>
      <c r="N24" s="243">
        <f t="shared" si="2"/>
        <v>0.19611613513818407</v>
      </c>
      <c r="O24" s="243">
        <f t="shared" si="4"/>
        <v>0.20000000000000004</v>
      </c>
      <c r="R24" s="268" t="e">
        <f>'4 Fahrleistung'!#REF!</f>
        <v>#REF!</v>
      </c>
      <c r="S24" s="268" t="e">
        <f>'4 Fahrleistung'!#REF!</f>
        <v>#REF!</v>
      </c>
      <c r="U24" s="272"/>
    </row>
    <row r="25" spans="1:22" ht="18" x14ac:dyDescent="0.35">
      <c r="A25" s="52"/>
      <c r="C25" s="182" t="s">
        <v>112</v>
      </c>
      <c r="D25" s="183">
        <f>m_F_normal*g_Erdbeschl.*p</f>
        <v>382.59</v>
      </c>
      <c r="G25" s="41">
        <v>1</v>
      </c>
      <c r="J25" s="53">
        <v>21</v>
      </c>
      <c r="K25" s="242">
        <f t="shared" si="0"/>
        <v>11.859779120947978</v>
      </c>
      <c r="L25" s="268">
        <f t="shared" si="3"/>
        <v>0.20699219421982101</v>
      </c>
      <c r="M25" s="243">
        <f t="shared" si="1"/>
        <v>0.97865349660197065</v>
      </c>
      <c r="N25" s="243">
        <f t="shared" si="2"/>
        <v>0.2055172342864138</v>
      </c>
      <c r="O25" s="243">
        <f t="shared" si="4"/>
        <v>0.21</v>
      </c>
      <c r="R25" s="272" t="e">
        <f>Q20+Q22+Q23</f>
        <v>#REF!</v>
      </c>
      <c r="S25" s="55" t="e">
        <f>Q20+Q22</f>
        <v>#REF!</v>
      </c>
      <c r="U25" s="272" t="e">
        <f>R25-R40</f>
        <v>#REF!</v>
      </c>
      <c r="V25" s="272" t="e">
        <f>S25-S40</f>
        <v>#REF!</v>
      </c>
    </row>
    <row r="26" spans="1:22" ht="18" hidden="1" x14ac:dyDescent="0.35">
      <c r="A26" s="52"/>
      <c r="C26" s="182" t="s">
        <v>187</v>
      </c>
      <c r="D26" s="183">
        <f>D60/V_F*3.6*1000</f>
        <v>71.493691675998562</v>
      </c>
      <c r="G26" s="33"/>
      <c r="J26" s="53">
        <v>22</v>
      </c>
      <c r="K26" s="242">
        <f t="shared" si="0"/>
        <v>12.407418527400745</v>
      </c>
      <c r="L26" s="268">
        <f t="shared" si="3"/>
        <v>0.21655030497608926</v>
      </c>
      <c r="M26" s="243">
        <f t="shared" si="1"/>
        <v>0.97664446670508998</v>
      </c>
      <c r="N26" s="243">
        <f t="shared" si="2"/>
        <v>0.21486178267511979</v>
      </c>
      <c r="O26" s="243">
        <f t="shared" si="4"/>
        <v>0.22000000000000003</v>
      </c>
    </row>
    <row r="27" spans="1:22" ht="18" hidden="1" x14ac:dyDescent="0.35">
      <c r="C27" s="182" t="s">
        <v>188</v>
      </c>
      <c r="D27" s="183">
        <f>D56/V_F*3.6*1000</f>
        <v>56.003391812865488</v>
      </c>
      <c r="J27" s="53">
        <v>23</v>
      </c>
      <c r="K27" s="242">
        <f t="shared" si="0"/>
        <v>12.95276451337552</v>
      </c>
      <c r="L27" s="268">
        <f t="shared" si="3"/>
        <v>0.22606838799388393</v>
      </c>
      <c r="M27" s="243">
        <f t="shared" si="1"/>
        <v>0.97455518661489959</v>
      </c>
      <c r="N27" s="243">
        <f t="shared" si="2"/>
        <v>0.22414769292142692</v>
      </c>
      <c r="O27" s="243">
        <f t="shared" si="4"/>
        <v>0.23000000000000004</v>
      </c>
      <c r="Q27" s="272"/>
    </row>
    <row r="28" spans="1:22" hidden="1" x14ac:dyDescent="0.25">
      <c r="C28" s="182" t="s">
        <v>189</v>
      </c>
      <c r="D28" s="267">
        <f>D27+D25+D26+D21+D17</f>
        <v>1191.5615279333083</v>
      </c>
      <c r="E28">
        <f>D52/V_F*3.6*1000</f>
        <v>1191.5615279333081</v>
      </c>
      <c r="J28" s="53">
        <v>24</v>
      </c>
      <c r="K28" s="242">
        <f t="shared" si="0"/>
        <v>13.495733280795811</v>
      </c>
      <c r="L28" s="268">
        <f t="shared" si="3"/>
        <v>0.2355449807208633</v>
      </c>
      <c r="M28" s="243">
        <f t="shared" si="1"/>
        <v>0.97238730198051748</v>
      </c>
      <c r="N28" s="243">
        <f t="shared" si="2"/>
        <v>0.23337295247532419</v>
      </c>
      <c r="O28" s="243">
        <f t="shared" si="4"/>
        <v>0.24</v>
      </c>
    </row>
    <row r="29" spans="1:22" x14ac:dyDescent="0.25">
      <c r="J29" s="53">
        <v>25</v>
      </c>
      <c r="K29" s="242">
        <f t="shared" si="0"/>
        <v>14.036243467926479</v>
      </c>
      <c r="L29" s="268">
        <f t="shared" si="3"/>
        <v>0.24497866312686414</v>
      </c>
      <c r="M29" s="243">
        <f t="shared" si="1"/>
        <v>0.97014250014533188</v>
      </c>
      <c r="N29" s="243">
        <f t="shared" si="2"/>
        <v>0.24253562503633294</v>
      </c>
      <c r="O29" s="243">
        <f t="shared" si="4"/>
        <v>0.24999999999999997</v>
      </c>
      <c r="R29" s="166" t="s">
        <v>190</v>
      </c>
      <c r="S29" s="166" t="s">
        <v>191</v>
      </c>
    </row>
    <row r="30" spans="1:22" x14ac:dyDescent="0.25">
      <c r="A30" s="52"/>
      <c r="G30" s="41">
        <v>1</v>
      </c>
      <c r="J30" s="53">
        <v>26</v>
      </c>
      <c r="K30" s="242">
        <f t="shared" si="0"/>
        <v>14.574216198038739</v>
      </c>
      <c r="L30" s="268">
        <f t="shared" si="3"/>
        <v>0.25436805855326594</v>
      </c>
      <c r="M30" s="243">
        <f t="shared" si="1"/>
        <v>0.96782250678827197</v>
      </c>
      <c r="N30" s="243">
        <f t="shared" si="2"/>
        <v>0.25163385176495073</v>
      </c>
      <c r="O30" s="243">
        <f t="shared" si="4"/>
        <v>0.26</v>
      </c>
      <c r="R30" s="166">
        <f>V_F</f>
        <v>130</v>
      </c>
      <c r="S30" s="268">
        <f>v_th</f>
        <v>136.84210526315789</v>
      </c>
    </row>
    <row r="31" spans="1:22" ht="18" x14ac:dyDescent="0.35">
      <c r="A31" s="52"/>
      <c r="B31" s="29" t="s">
        <v>96</v>
      </c>
      <c r="C31" t="str">
        <f>CONCATENATE(ROUND(D17,2),"+",D21,"+",D25)</f>
        <v>553,94+127,53+382,59</v>
      </c>
      <c r="G31" s="33"/>
      <c r="J31" s="53">
        <v>27</v>
      </c>
      <c r="K31" s="242">
        <f t="shared" si="0"/>
        <v>15.109575122340466</v>
      </c>
      <c r="L31" s="268">
        <f t="shared" si="3"/>
        <v>0.26371183446226615</v>
      </c>
      <c r="M31" s="243">
        <f t="shared" si="1"/>
        <v>0.96542908255838722</v>
      </c>
      <c r="N31" s="243">
        <f t="shared" si="2"/>
        <v>0.26066585229076461</v>
      </c>
      <c r="O31" s="243">
        <f t="shared" si="4"/>
        <v>0.27</v>
      </c>
      <c r="P31" s="182" t="s">
        <v>103</v>
      </c>
      <c r="Q31" s="183">
        <f>S31/S30*3.6*1000</f>
        <v>0</v>
      </c>
      <c r="R31" s="268">
        <f>R39-R38-R37-R34-R33-R32</f>
        <v>0</v>
      </c>
      <c r="S31" s="242">
        <f>S39-S38-S37-S34-S33-S32</f>
        <v>0</v>
      </c>
    </row>
    <row r="32" spans="1:22" ht="18" x14ac:dyDescent="0.35">
      <c r="A32" s="52"/>
      <c r="C32" s="182" t="s">
        <v>96</v>
      </c>
      <c r="D32" s="183">
        <f>D17+D21+D25</f>
        <v>1064.0644444444442</v>
      </c>
      <c r="G32" s="41">
        <v>1</v>
      </c>
      <c r="J32" s="53">
        <v>28</v>
      </c>
      <c r="K32" s="242">
        <f t="shared" si="0"/>
        <v>15.642246457208728</v>
      </c>
      <c r="L32" s="268">
        <f t="shared" si="3"/>
        <v>0.2730087030867106</v>
      </c>
      <c r="M32" s="243">
        <f t="shared" si="1"/>
        <v>0.96296401971418166</v>
      </c>
      <c r="N32" s="243">
        <f t="shared" si="2"/>
        <v>0.26962992551997089</v>
      </c>
      <c r="O32" s="243">
        <f t="shared" si="4"/>
        <v>0.28000000000000003</v>
      </c>
      <c r="P32" s="182" t="s">
        <v>94</v>
      </c>
      <c r="Q32" s="183">
        <f>0.5*roh_Luft*cw*A*E12^2/3.6^2</f>
        <v>553.94444444444434</v>
      </c>
      <c r="R32" s="268">
        <f>Q17*$R$15/3.6/1000</f>
        <v>20.003549382716045</v>
      </c>
      <c r="S32" s="268">
        <f>Q17*$S$15/3.6/1000</f>
        <v>21.056367771280048</v>
      </c>
    </row>
    <row r="33" spans="1:19" ht="18.75" thickBot="1" x14ac:dyDescent="0.4">
      <c r="A33" s="37"/>
      <c r="B33" s="38"/>
      <c r="C33" s="38"/>
      <c r="D33" s="38"/>
      <c r="E33" s="38"/>
      <c r="F33" s="38"/>
      <c r="G33" s="34"/>
      <c r="H33" s="51">
        <f>SUM(G15:G32)</f>
        <v>8</v>
      </c>
      <c r="J33" s="53">
        <v>29</v>
      </c>
      <c r="K33" s="242">
        <f t="shared" si="0"/>
        <v>16.172159015782551</v>
      </c>
      <c r="L33" s="268">
        <f t="shared" si="3"/>
        <v>0.28225742198149112</v>
      </c>
      <c r="M33" s="243">
        <f t="shared" si="1"/>
        <v>0.96042913877873204</v>
      </c>
      <c r="N33" s="243">
        <f t="shared" si="2"/>
        <v>0.27852445024583228</v>
      </c>
      <c r="O33" s="243">
        <f t="shared" si="4"/>
        <v>0.28999999999999998</v>
      </c>
      <c r="P33" s="182" t="s">
        <v>95</v>
      </c>
      <c r="Q33" s="183">
        <f>m_F_normal*g_Erdbeschl.*fr</f>
        <v>127.53</v>
      </c>
      <c r="R33" s="268">
        <f t="shared" ref="R33:R34" si="8">Q33*$R$15/3.6/1000</f>
        <v>4.6052499999999998</v>
      </c>
      <c r="S33" s="268">
        <f t="shared" ref="S33:S34" si="9">Q33*$S$15/3.6/1000</f>
        <v>4.8476315789473681</v>
      </c>
    </row>
    <row r="34" spans="1:19" ht="18.75" x14ac:dyDescent="0.35">
      <c r="A34" s="35"/>
      <c r="B34" s="36"/>
      <c r="C34" s="36"/>
      <c r="D34" s="184" t="s">
        <v>115</v>
      </c>
      <c r="E34" s="185">
        <v>0.05</v>
      </c>
      <c r="F34" s="36"/>
      <c r="G34" s="32"/>
      <c r="J34" s="53">
        <v>30</v>
      </c>
      <c r="K34" s="242">
        <f t="shared" si="0"/>
        <v>16.699244233993621</v>
      </c>
      <c r="L34" s="268">
        <f t="shared" si="3"/>
        <v>0.29145679447786704</v>
      </c>
      <c r="M34" s="243">
        <f t="shared" si="1"/>
        <v>0.95782628522115143</v>
      </c>
      <c r="N34" s="243">
        <f t="shared" si="2"/>
        <v>0.28734788556634544</v>
      </c>
      <c r="O34" s="243">
        <f t="shared" si="4"/>
        <v>0.3</v>
      </c>
      <c r="P34" s="182" t="s">
        <v>112</v>
      </c>
      <c r="Q34" s="183">
        <f>m_F_normal*g_Erdbeschl.*p</f>
        <v>382.59</v>
      </c>
      <c r="R34" s="268">
        <f t="shared" si="8"/>
        <v>13.815749999999998</v>
      </c>
      <c r="S34" s="268">
        <f t="shared" si="9"/>
        <v>14.542894736842102</v>
      </c>
    </row>
    <row r="35" spans="1:19" x14ac:dyDescent="0.25">
      <c r="A35" s="52" t="s">
        <v>14</v>
      </c>
      <c r="G35" s="33"/>
      <c r="J35" s="53">
        <v>31</v>
      </c>
      <c r="K35" s="242">
        <f t="shared" si="0"/>
        <v>17.223436191131462</v>
      </c>
      <c r="L35" s="268">
        <f t="shared" si="3"/>
        <v>0.30060567004239536</v>
      </c>
      <c r="M35" s="243">
        <f t="shared" si="1"/>
        <v>0.95515732617445348</v>
      </c>
      <c r="N35" s="243">
        <f t="shared" si="2"/>
        <v>0.29609877111408056</v>
      </c>
      <c r="O35" s="243">
        <f t="shared" si="4"/>
        <v>0.30999999999999994</v>
      </c>
      <c r="P35" s="182" t="s">
        <v>185</v>
      </c>
      <c r="Q35" s="270">
        <f>SUM(Q31:Q34)</f>
        <v>1064.0644444444442</v>
      </c>
      <c r="R35" s="270"/>
      <c r="S35" s="270"/>
    </row>
    <row r="36" spans="1:19" x14ac:dyDescent="0.25">
      <c r="A36" s="52"/>
      <c r="G36" s="41">
        <v>1</v>
      </c>
      <c r="J36" s="53">
        <v>32</v>
      </c>
      <c r="K36" s="242">
        <f t="shared" si="0"/>
        <v>17.744671625056935</v>
      </c>
      <c r="L36" s="268">
        <f t="shared" si="3"/>
        <v>0.30970294454245623</v>
      </c>
      <c r="M36" s="243">
        <f t="shared" si="1"/>
        <v>0.95242414719932422</v>
      </c>
      <c r="N36" s="243">
        <f t="shared" si="2"/>
        <v>0.30477572710378376</v>
      </c>
      <c r="O36" s="243">
        <f t="shared" si="4"/>
        <v>0.32</v>
      </c>
    </row>
    <row r="37" spans="1:19" ht="18" x14ac:dyDescent="0.35">
      <c r="A37" s="52"/>
      <c r="G37" s="33"/>
      <c r="J37" s="53">
        <v>33</v>
      </c>
      <c r="K37" s="242">
        <f t="shared" ref="K37:K68" si="10">180/PI()*ATAN(J37/100)</f>
        <v>18.262889942194128</v>
      </c>
      <c r="L37" s="268">
        <f t="shared" si="3"/>
        <v>0.31874756042064445</v>
      </c>
      <c r="M37" s="243">
        <f t="shared" ref="M37:M69" si="11">COS(K37*PI()/180)</f>
        <v>0.94962864910273292</v>
      </c>
      <c r="N37" s="243">
        <f t="shared" ref="N37:N68" si="12">SIN(K37*PI()/180)</f>
        <v>0.31337745420390184</v>
      </c>
      <c r="O37" s="243">
        <f t="shared" si="4"/>
        <v>0.32999999999999996</v>
      </c>
      <c r="P37" s="182" t="s">
        <v>187</v>
      </c>
      <c r="Q37" s="183">
        <f>R39*(1-eta_Tr)/V_F*3.6*1000</f>
        <v>71.493691675998562</v>
      </c>
      <c r="R37" s="268">
        <f>Q37*$R$30/3.6/1000</f>
        <v>2.5817166438555037</v>
      </c>
      <c r="S37" s="268">
        <f>R37</f>
        <v>2.5817166438555037</v>
      </c>
    </row>
    <row r="38" spans="1:19" ht="18" x14ac:dyDescent="0.35">
      <c r="A38" s="52"/>
      <c r="G38" s="41">
        <v>2</v>
      </c>
      <c r="J38" s="53">
        <v>34</v>
      </c>
      <c r="K38" s="242">
        <f t="shared" si="10"/>
        <v>18.778033222445544</v>
      </c>
      <c r="L38" s="268">
        <f t="shared" si="3"/>
        <v>0.32773850678055549</v>
      </c>
      <c r="M38" s="243">
        <f t="shared" si="11"/>
        <v>0.94677274481971274</v>
      </c>
      <c r="N38" s="243">
        <f t="shared" si="12"/>
        <v>0.32190273323870239</v>
      </c>
      <c r="O38" s="243">
        <f t="shared" si="4"/>
        <v>0.34000000000000008</v>
      </c>
      <c r="P38" s="182" t="s">
        <v>188</v>
      </c>
      <c r="Q38" s="183">
        <f>Q35*(v_th-V_F)/V_F</f>
        <v>56.003391812865445</v>
      </c>
      <c r="R38" s="268">
        <f>D56</f>
        <v>2.0223447043534759</v>
      </c>
      <c r="S38" s="268"/>
    </row>
    <row r="39" spans="1:19" x14ac:dyDescent="0.25">
      <c r="A39" s="52"/>
      <c r="G39" s="33"/>
      <c r="J39" s="53">
        <v>35</v>
      </c>
      <c r="K39" s="242">
        <f t="shared" si="10"/>
        <v>19.290046219188735</v>
      </c>
      <c r="L39" s="268">
        <f t="shared" si="3"/>
        <v>0.33667481938672716</v>
      </c>
      <c r="M39" s="243">
        <f t="shared" si="11"/>
        <v>0.94385835636601745</v>
      </c>
      <c r="N39" s="243">
        <f t="shared" si="12"/>
        <v>0.33035042472810611</v>
      </c>
      <c r="O39" s="243">
        <f t="shared" si="4"/>
        <v>0.35000000000000003</v>
      </c>
      <c r="R39" s="268">
        <f>D52</f>
        <v>43.028610730925017</v>
      </c>
      <c r="S39" s="268">
        <f>D52</f>
        <v>43.028610730925017</v>
      </c>
    </row>
    <row r="40" spans="1:19" x14ac:dyDescent="0.25">
      <c r="A40" s="52"/>
      <c r="G40" s="33"/>
      <c r="J40" s="53">
        <v>36</v>
      </c>
      <c r="K40" s="242">
        <f t="shared" si="10"/>
        <v>19.798876354524932</v>
      </c>
      <c r="L40" s="268">
        <f t="shared" si="3"/>
        <v>0.34555558058171215</v>
      </c>
      <c r="M40" s="243">
        <f t="shared" si="11"/>
        <v>0.94088741186872682</v>
      </c>
      <c r="N40" s="243">
        <f t="shared" si="12"/>
        <v>0.33871946827274169</v>
      </c>
      <c r="O40" s="243">
        <f t="shared" si="4"/>
        <v>0.36000000000000004</v>
      </c>
      <c r="R40" s="272">
        <f>Q35+Q37+Q38</f>
        <v>1191.5615279333083</v>
      </c>
      <c r="S40" s="55">
        <f>Q35+Q37</f>
        <v>1135.5581361204429</v>
      </c>
    </row>
    <row r="41" spans="1:19" ht="18" x14ac:dyDescent="0.35">
      <c r="A41" s="52"/>
      <c r="B41" s="29" t="s">
        <v>114</v>
      </c>
      <c r="C41" t="str">
        <f>CONCATENATE(E12," / ","1-",LambdaA)</f>
        <v>130 / 1-0,05</v>
      </c>
      <c r="G41" s="33"/>
      <c r="J41" s="53">
        <v>37</v>
      </c>
      <c r="K41" s="242">
        <f t="shared" si="10"/>
        <v>20.304473709960437</v>
      </c>
      <c r="L41" s="268">
        <f t="shared" si="3"/>
        <v>0.3543799191234378</v>
      </c>
      <c r="M41" s="243">
        <f t="shared" si="11"/>
        <v>0.93786184268122785</v>
      </c>
      <c r="N41" s="243">
        <f t="shared" si="12"/>
        <v>0.3470088817920543</v>
      </c>
      <c r="O41" s="243">
        <f t="shared" si="4"/>
        <v>0.37</v>
      </c>
    </row>
    <row r="42" spans="1:19" ht="18" x14ac:dyDescent="0.35">
      <c r="A42" s="52"/>
      <c r="C42" s="182" t="s">
        <v>114</v>
      </c>
      <c r="D42" s="186">
        <f>E12/(1-LambdaA)</f>
        <v>136.84210526315789</v>
      </c>
      <c r="G42" s="41">
        <v>1</v>
      </c>
      <c r="J42" s="53">
        <v>38</v>
      </c>
      <c r="K42" s="242">
        <f t="shared" si="10"/>
        <v>20.80679101271123</v>
      </c>
      <c r="L42" s="268">
        <f t="shared" si="3"/>
        <v>0.36314700994617627</v>
      </c>
      <c r="M42" s="243">
        <f t="shared" si="11"/>
        <v>0.93478358058834898</v>
      </c>
      <c r="N42" s="243">
        <f t="shared" si="12"/>
        <v>0.35521776062357258</v>
      </c>
      <c r="O42" s="243">
        <f t="shared" si="4"/>
        <v>0.37999999999999995</v>
      </c>
    </row>
    <row r="43" spans="1:19" ht="15.75" thickBot="1" x14ac:dyDescent="0.3">
      <c r="A43" s="52"/>
      <c r="G43" s="33"/>
      <c r="H43" s="51">
        <f>SUM(G35:G42)</f>
        <v>4</v>
      </c>
      <c r="J43" s="53">
        <v>39</v>
      </c>
      <c r="K43" s="242">
        <f t="shared" si="10"/>
        <v>21.305783617828769</v>
      </c>
      <c r="L43" s="268">
        <f t="shared" si="3"/>
        <v>0.37185607384858121</v>
      </c>
      <c r="M43" s="243">
        <f t="shared" si="11"/>
        <v>0.9316545551067793</v>
      </c>
      <c r="N43" s="243">
        <f t="shared" si="12"/>
        <v>0.36334527649164389</v>
      </c>
      <c r="O43" s="243">
        <f t="shared" si="4"/>
        <v>0.38999999999999996</v>
      </c>
    </row>
    <row r="44" spans="1:19" x14ac:dyDescent="0.25">
      <c r="A44" s="35" t="s">
        <v>17</v>
      </c>
      <c r="B44" s="36"/>
      <c r="C44" s="36"/>
      <c r="D44" s="36"/>
      <c r="E44" s="36"/>
      <c r="F44" s="36"/>
      <c r="G44" s="32"/>
      <c r="J44" s="53">
        <v>40</v>
      </c>
      <c r="K44" s="242">
        <f t="shared" si="10"/>
        <v>21.801409486351812</v>
      </c>
      <c r="L44" s="268">
        <f t="shared" si="3"/>
        <v>0.38050637711236485</v>
      </c>
      <c r="M44" s="243">
        <f t="shared" si="11"/>
        <v>0.9284766908852593</v>
      </c>
      <c r="N44" s="243">
        <f t="shared" si="12"/>
        <v>0.37139067635410372</v>
      </c>
      <c r="O44" s="243">
        <f t="shared" si="4"/>
        <v>0.4</v>
      </c>
    </row>
    <row r="45" spans="1:19" x14ac:dyDescent="0.25">
      <c r="A45" s="52"/>
      <c r="G45" s="33"/>
      <c r="J45" s="53">
        <v>41</v>
      </c>
      <c r="K45" s="242">
        <f t="shared" si="10"/>
        <v>22.293629159694078</v>
      </c>
      <c r="L45" s="268">
        <f t="shared" si="3"/>
        <v>0.38909723105527838</v>
      </c>
      <c r="M45" s="243">
        <f t="shared" si="11"/>
        <v>0.92525190520839939</v>
      </c>
      <c r="N45" s="243">
        <f t="shared" si="12"/>
        <v>0.37935328113544375</v>
      </c>
      <c r="O45" s="243">
        <f t="shared" si="4"/>
        <v>0.41</v>
      </c>
    </row>
    <row r="46" spans="1:19" x14ac:dyDescent="0.25">
      <c r="A46" s="52"/>
      <c r="F46" s="188"/>
      <c r="G46" s="41">
        <v>1</v>
      </c>
      <c r="J46" s="53">
        <v>42</v>
      </c>
      <c r="K46" s="242">
        <f t="shared" si="10"/>
        <v>22.782405730481688</v>
      </c>
      <c r="L46" s="268">
        <f t="shared" si="3"/>
        <v>0.39762799152212935</v>
      </c>
      <c r="M46" s="243">
        <f t="shared" si="11"/>
        <v>0.92198210560736138</v>
      </c>
      <c r="N46" s="243">
        <f t="shared" si="12"/>
        <v>0.38723248435509178</v>
      </c>
      <c r="O46" s="243">
        <f t="shared" si="4"/>
        <v>0.42</v>
      </c>
    </row>
    <row r="47" spans="1:19" ht="18" x14ac:dyDescent="0.35">
      <c r="A47" s="52"/>
      <c r="B47" s="29" t="s">
        <v>57</v>
      </c>
      <c r="C47" t="str">
        <f>CONCATENATE(ROUND(D32,2)," * ",ROUND(D42,2)," / 3,6",)</f>
        <v>1064,06 * 136,84 / 3,6</v>
      </c>
      <c r="G47" s="63"/>
      <c r="J47" s="53">
        <v>43</v>
      </c>
      <c r="K47" s="242">
        <f t="shared" si="10"/>
        <v>23.267704810056951</v>
      </c>
      <c r="L47" s="268">
        <f t="shared" si="3"/>
        <v>0.40609805831761564</v>
      </c>
      <c r="M47" s="243">
        <f t="shared" si="11"/>
        <v>0.91866918758003568</v>
      </c>
      <c r="N47" s="243">
        <f t="shared" si="12"/>
        <v>0.39502775065941531</v>
      </c>
      <c r="O47" s="243">
        <f t="shared" si="4"/>
        <v>0.43</v>
      </c>
    </row>
    <row r="48" spans="1:19" ht="18" x14ac:dyDescent="0.35">
      <c r="A48" s="52"/>
      <c r="C48" s="182" t="s">
        <v>57</v>
      </c>
      <c r="D48" s="187">
        <f>(D32)*D42/3.6/1000</f>
        <v>40.446894087069516</v>
      </c>
      <c r="G48" s="41">
        <v>1</v>
      </c>
      <c r="J48" s="53">
        <v>44</v>
      </c>
      <c r="K48" s="242">
        <f t="shared" si="10"/>
        <v>23.749494492866763</v>
      </c>
      <c r="L48" s="268">
        <f t="shared" si="3"/>
        <v>0.41450687458478597</v>
      </c>
      <c r="M48" s="243">
        <f t="shared" si="11"/>
        <v>0.91531503242276557</v>
      </c>
      <c r="N48" s="243">
        <f t="shared" si="12"/>
        <v>0.40273861426601687</v>
      </c>
      <c r="O48" s="243">
        <f t="shared" si="4"/>
        <v>0.44000000000000006</v>
      </c>
    </row>
    <row r="49" spans="1:15" x14ac:dyDescent="0.25">
      <c r="A49" s="52"/>
      <c r="G49" s="63"/>
      <c r="J49" s="53">
        <v>45</v>
      </c>
      <c r="K49" s="242">
        <f t="shared" si="10"/>
        <v>24.22774531795417</v>
      </c>
      <c r="L49" s="268">
        <f t="shared" si="3"/>
        <v>0.42285392613294076</v>
      </c>
      <c r="M49" s="243">
        <f t="shared" si="11"/>
        <v>0.91192150517510639</v>
      </c>
      <c r="N49" s="243">
        <f t="shared" si="12"/>
        <v>0.41036467732879789</v>
      </c>
      <c r="O49" s="243">
        <f t="shared" si="4"/>
        <v>0.45</v>
      </c>
    </row>
    <row r="50" spans="1:15" x14ac:dyDescent="0.25">
      <c r="A50" s="52"/>
      <c r="G50" s="41">
        <v>1</v>
      </c>
      <c r="J50" s="53">
        <v>46</v>
      </c>
      <c r="K50" s="242">
        <f t="shared" si="10"/>
        <v>24.702430227771313</v>
      </c>
      <c r="L50" s="268">
        <f t="shared" si="3"/>
        <v>0.43113874071878217</v>
      </c>
      <c r="M50" s="243">
        <f t="shared" si="11"/>
        <v>0.90849045267857464</v>
      </c>
      <c r="N50" s="243">
        <f t="shared" si="12"/>
        <v>0.4179056082321444</v>
      </c>
      <c r="O50" s="243">
        <f t="shared" si="4"/>
        <v>0.46</v>
      </c>
    </row>
    <row r="51" spans="1:15" ht="18" x14ac:dyDescent="0.25">
      <c r="A51" s="52"/>
      <c r="B51" s="39" t="s">
        <v>58</v>
      </c>
      <c r="C51" s="109" t="str">
        <f>CONCATENATE(ROUND(' 2 Fahrwiderst'!D48,2)," / ",eta_Tr)</f>
        <v>40,45 / 0,94</v>
      </c>
      <c r="D51" s="109"/>
      <c r="G51" s="33"/>
      <c r="J51" s="53">
        <v>47</v>
      </c>
      <c r="K51" s="242">
        <f t="shared" si="10"/>
        <v>25.173524524530166</v>
      </c>
      <c r="L51" s="268">
        <f t="shared" si="3"/>
        <v>0.43936088728459144</v>
      </c>
      <c r="M51" s="243">
        <f t="shared" si="11"/>
        <v>0.90502370174983282</v>
      </c>
      <c r="N51" s="243">
        <f t="shared" si="12"/>
        <v>0.42536113982242146</v>
      </c>
      <c r="O51" s="243">
        <f t="shared" si="4"/>
        <v>0.47000000000000003</v>
      </c>
    </row>
    <row r="52" spans="1:15" ht="18" x14ac:dyDescent="0.25">
      <c r="A52" s="52"/>
      <c r="C52" s="196" t="s">
        <v>58</v>
      </c>
      <c r="D52" s="269">
        <f>D48/eta_Tr</f>
        <v>43.028610730925017</v>
      </c>
      <c r="G52" s="41">
        <v>1</v>
      </c>
      <c r="J52" s="53">
        <v>48</v>
      </c>
      <c r="K52" s="242">
        <f t="shared" si="10"/>
        <v>25.641005824305282</v>
      </c>
      <c r="L52" s="268">
        <f t="shared" si="3"/>
        <v>0.44751997515716985</v>
      </c>
      <c r="M52" s="243">
        <f t="shared" si="11"/>
        <v>0.90152305746827355</v>
      </c>
      <c r="N52" s="243">
        <f t="shared" si="12"/>
        <v>0.43273106758477126</v>
      </c>
      <c r="O52" s="243">
        <f t="shared" si="4"/>
        <v>0.48</v>
      </c>
    </row>
    <row r="53" spans="1:15" x14ac:dyDescent="0.25">
      <c r="A53" s="52"/>
      <c r="C53" s="39"/>
      <c r="D53" s="201"/>
      <c r="G53" s="44"/>
      <c r="J53" s="53">
        <v>49</v>
      </c>
      <c r="K53" s="242">
        <f t="shared" si="10"/>
        <v>26.104854009099295</v>
      </c>
      <c r="L53" s="268">
        <f t="shared" si="3"/>
        <v>0.45561565321122449</v>
      </c>
      <c r="M53" s="243">
        <f t="shared" si="11"/>
        <v>0.89799030157751702</v>
      </c>
      <c r="N53" s="243">
        <f t="shared" si="12"/>
        <v>0.44001524777298334</v>
      </c>
      <c r="O53" s="243">
        <f t="shared" si="4"/>
        <v>0.49</v>
      </c>
    </row>
    <row r="54" spans="1:15" x14ac:dyDescent="0.25">
      <c r="A54" s="52"/>
      <c r="C54" s="39"/>
      <c r="D54" s="201"/>
      <c r="G54" s="41">
        <v>1</v>
      </c>
      <c r="J54" s="53">
        <v>50</v>
      </c>
      <c r="K54" s="242">
        <f t="shared" si="10"/>
        <v>26.56505117707799</v>
      </c>
      <c r="L54" s="268">
        <f t="shared" si="3"/>
        <v>0.46364760900080615</v>
      </c>
      <c r="M54" s="243">
        <f t="shared" si="11"/>
        <v>0.89442719099991586</v>
      </c>
      <c r="N54" s="243">
        <f t="shared" si="12"/>
        <v>0.44721359549995798</v>
      </c>
      <c r="O54" s="243">
        <f t="shared" si="4"/>
        <v>0.5</v>
      </c>
    </row>
    <row r="55" spans="1:15" ht="18" x14ac:dyDescent="0.35">
      <c r="A55" s="52"/>
      <c r="B55" s="29" t="s">
        <v>62</v>
      </c>
      <c r="C55" s="109" t="str">
        <f>CONCATENATE(ROUND(D48,2)," * ",LambdaA)</f>
        <v>40,45 * 0,05</v>
      </c>
      <c r="D55" s="201"/>
      <c r="G55" s="44"/>
      <c r="J55" s="53">
        <v>51</v>
      </c>
      <c r="K55" s="242">
        <f t="shared" si="10"/>
        <v>27.021581591177039</v>
      </c>
      <c r="L55" s="268">
        <f t="shared" si="3"/>
        <v>0.47161556786232767</v>
      </c>
      <c r="M55" s="243">
        <f t="shared" si="11"/>
        <v>0.89083545646276951</v>
      </c>
      <c r="N55" s="243">
        <f t="shared" si="12"/>
        <v>0.45432608279601244</v>
      </c>
      <c r="O55" s="243">
        <f t="shared" si="4"/>
        <v>0.51</v>
      </c>
    </row>
    <row r="56" spans="1:15" ht="18" x14ac:dyDescent="0.25">
      <c r="A56" s="52"/>
      <c r="C56" s="196" t="s">
        <v>62</v>
      </c>
      <c r="D56" s="269">
        <f>D48*LambdaA</f>
        <v>2.0223447043534759</v>
      </c>
      <c r="G56" s="41">
        <v>1</v>
      </c>
      <c r="J56" s="53">
        <v>52</v>
      </c>
      <c r="K56" s="242">
        <f t="shared" si="10"/>
        <v>27.474431626277134</v>
      </c>
      <c r="L56" s="268">
        <f t="shared" si="3"/>
        <v>0.47951929199259624</v>
      </c>
      <c r="M56" s="243">
        <f t="shared" si="11"/>
        <v>0.88721680123459512</v>
      </c>
      <c r="N56" s="243">
        <f t="shared" si="12"/>
        <v>0.4613527366419895</v>
      </c>
      <c r="O56" s="243">
        <f t="shared" si="4"/>
        <v>0.52</v>
      </c>
    </row>
    <row r="57" spans="1:15" x14ac:dyDescent="0.25">
      <c r="A57" s="52"/>
      <c r="C57" s="39" t="s">
        <v>186</v>
      </c>
      <c r="D57" s="201">
        <f>D56/V_F*3.6*1000</f>
        <v>56.003391812865488</v>
      </c>
      <c r="G57" s="44"/>
      <c r="J57" s="53">
        <v>53</v>
      </c>
      <c r="K57" s="242">
        <f t="shared" si="10"/>
        <v>27.923589715138384</v>
      </c>
      <c r="L57" s="268">
        <f t="shared" si="3"/>
        <v>0.48735857950519024</v>
      </c>
      <c r="M57" s="243">
        <f t="shared" si="11"/>
        <v>0.88357289996947352</v>
      </c>
      <c r="N57" s="243">
        <f t="shared" si="12"/>
        <v>0.46829363698382098</v>
      </c>
      <c r="O57" s="243">
        <f t="shared" si="4"/>
        <v>0.53</v>
      </c>
    </row>
    <row r="58" spans="1:15" x14ac:dyDescent="0.25">
      <c r="A58" s="52"/>
      <c r="C58" s="39"/>
      <c r="D58" s="201"/>
      <c r="G58" s="41">
        <v>1</v>
      </c>
      <c r="J58" s="53">
        <v>54</v>
      </c>
      <c r="K58" s="242">
        <f t="shared" si="10"/>
        <v>28.369046293278583</v>
      </c>
      <c r="L58" s="268">
        <f t="shared" si="3"/>
        <v>0.49513326346840408</v>
      </c>
      <c r="M58" s="243">
        <f t="shared" si="11"/>
        <v>0.87990539765719245</v>
      </c>
      <c r="N58" s="243">
        <f t="shared" si="12"/>
        <v>0.47514891473488396</v>
      </c>
      <c r="O58" s="243">
        <f t="shared" si="4"/>
        <v>0.54</v>
      </c>
    </row>
    <row r="59" spans="1:15" ht="18" x14ac:dyDescent="0.35">
      <c r="A59" s="52"/>
      <c r="B59" s="29" t="s">
        <v>125</v>
      </c>
      <c r="C59" s="39" t="str">
        <f>CONCATENATE(ROUND(D52,2)," *(1 - ",eta_Tr," )")</f>
        <v>43,03 *(1 - 0,94 )</v>
      </c>
      <c r="D59" s="201"/>
      <c r="G59" s="44"/>
      <c r="J59" s="53">
        <v>55</v>
      </c>
      <c r="K59" s="242">
        <f t="shared" si="10"/>
        <v>28.810793742973065</v>
      </c>
      <c r="L59" s="268">
        <f t="shared" si="3"/>
        <v>0.50284321092786088</v>
      </c>
      <c r="M59" s="243">
        <f t="shared" si="11"/>
        <v>0.876215908676647</v>
      </c>
      <c r="N59" s="243">
        <f t="shared" si="12"/>
        <v>0.48191874977215593</v>
      </c>
      <c r="O59" s="243">
        <f t="shared" si="4"/>
        <v>0.55000000000000004</v>
      </c>
    </row>
    <row r="60" spans="1:15" ht="18" x14ac:dyDescent="0.25">
      <c r="A60" s="52"/>
      <c r="C60" s="196" t="s">
        <v>125</v>
      </c>
      <c r="D60" s="269">
        <f>D52*(1-eta_Tr)</f>
        <v>2.5817166438555033</v>
      </c>
      <c r="G60" s="41">
        <v>1</v>
      </c>
      <c r="J60" s="53">
        <v>56</v>
      </c>
      <c r="K60" s="242">
        <f t="shared" si="10"/>
        <v>29.24882633654698</v>
      </c>
      <c r="L60" s="268">
        <f t="shared" si="3"/>
        <v>0.51048832191677584</v>
      </c>
      <c r="M60" s="243">
        <f t="shared" si="11"/>
        <v>0.87250601594971999</v>
      </c>
      <c r="N60" s="243">
        <f t="shared" si="12"/>
        <v>0.48860336893184331</v>
      </c>
      <c r="O60" s="243">
        <f t="shared" si="4"/>
        <v>0.56000000000000005</v>
      </c>
    </row>
    <row r="61" spans="1:15" ht="15.75" thickBot="1" x14ac:dyDescent="0.3">
      <c r="A61" s="37"/>
      <c r="B61" s="87"/>
      <c r="C61" s="197"/>
      <c r="D61" s="38"/>
      <c r="E61" s="38"/>
      <c r="F61" s="38"/>
      <c r="G61" s="34"/>
      <c r="H61" s="51">
        <f>SUM(G45:G60)</f>
        <v>8</v>
      </c>
      <c r="J61" s="53">
        <v>57</v>
      </c>
      <c r="K61" s="242">
        <f t="shared" si="10"/>
        <v>29.683140179123296</v>
      </c>
      <c r="L61" s="268">
        <f t="shared" si="3"/>
        <v>0.51806852845672091</v>
      </c>
      <c r="M61" s="243">
        <f t="shared" si="11"/>
        <v>0.86877727019266082</v>
      </c>
      <c r="N61" s="243">
        <f t="shared" si="12"/>
        <v>0.49520304400981663</v>
      </c>
      <c r="O61" s="243">
        <f t="shared" si="4"/>
        <v>0.56999999999999995</v>
      </c>
    </row>
    <row r="62" spans="1:15" x14ac:dyDescent="0.25">
      <c r="A62" s="35"/>
      <c r="B62" s="264"/>
      <c r="C62" s="265"/>
      <c r="D62" s="36"/>
      <c r="E62" s="36"/>
      <c r="F62" t="s">
        <v>220</v>
      </c>
      <c r="G62" s="266">
        <f>SUM(G13:G61)</f>
        <v>20</v>
      </c>
      <c r="J62" s="53">
        <v>58</v>
      </c>
      <c r="K62" s="242">
        <f t="shared" si="10"/>
        <v>30.113733150982437</v>
      </c>
      <c r="L62" s="268">
        <f t="shared" si="3"/>
        <v>0.52558379355161022</v>
      </c>
      <c r="M62" s="243">
        <f t="shared" si="11"/>
        <v>0.86503118926180333</v>
      </c>
      <c r="N62" s="243">
        <f t="shared" si="12"/>
        <v>0.50171808977184595</v>
      </c>
      <c r="O62" s="243">
        <f t="shared" si="4"/>
        <v>0.58000000000000007</v>
      </c>
    </row>
    <row r="63" spans="1:15" ht="15.75" hidden="1" thickBot="1" x14ac:dyDescent="0.3">
      <c r="A63" s="52" t="s">
        <v>181</v>
      </c>
      <c r="B63" s="64"/>
      <c r="C63" s="112"/>
      <c r="G63" s="33"/>
      <c r="J63" s="53">
        <v>59</v>
      </c>
      <c r="K63" s="242">
        <f t="shared" si="10"/>
        <v>30.5406048496815</v>
      </c>
      <c r="L63" s="268">
        <f t="shared" si="3"/>
        <v>0.53303411017749003</v>
      </c>
      <c r="M63" s="243">
        <f t="shared" si="11"/>
        <v>0.86126925759031525</v>
      </c>
      <c r="N63" s="243">
        <f t="shared" si="12"/>
        <v>0.50814886197828613</v>
      </c>
      <c r="O63" s="243">
        <f t="shared" si="4"/>
        <v>0.59000000000000019</v>
      </c>
    </row>
    <row r="64" spans="1:15" hidden="1" x14ac:dyDescent="0.25">
      <c r="A64" s="35"/>
      <c r="B64" s="264"/>
      <c r="C64" s="265"/>
      <c r="D64" s="36"/>
      <c r="E64" s="36"/>
      <c r="F64" s="36"/>
      <c r="G64" s="266">
        <v>1</v>
      </c>
      <c r="J64" s="53">
        <v>60</v>
      </c>
      <c r="K64" s="242">
        <f t="shared" si="10"/>
        <v>30.963756532073521</v>
      </c>
      <c r="L64" s="268">
        <f t="shared" si="3"/>
        <v>0.54041950027058405</v>
      </c>
      <c r="M64" s="243">
        <f t="shared" si="11"/>
        <v>0.85749292571254421</v>
      </c>
      <c r="N64" s="243">
        <f t="shared" si="12"/>
        <v>0.51449575542752657</v>
      </c>
      <c r="O64" s="243">
        <f t="shared" si="4"/>
        <v>0.6</v>
      </c>
    </row>
    <row r="65" spans="1:15" ht="18" hidden="1" x14ac:dyDescent="0.25">
      <c r="A65" s="52"/>
      <c r="B65" s="64" t="s">
        <v>62</v>
      </c>
      <c r="C65" s="112" t="str">
        <f>CONCATENATE(ROUND(D32,2),"*( ",ROUND(v_th,2)," - ",V_F," )/3,6")</f>
        <v>1064,06*( 136,84 - 130 )/3,6</v>
      </c>
      <c r="G65" s="33"/>
      <c r="J65" s="53">
        <v>61</v>
      </c>
      <c r="K65" s="242">
        <f t="shared" si="10"/>
        <v>31.383191056359031</v>
      </c>
      <c r="L65" s="268">
        <f t="shared" si="3"/>
        <v>0.54774001371590242</v>
      </c>
      <c r="M65" s="243">
        <f t="shared" si="11"/>
        <v>0.85370360987243077</v>
      </c>
      <c r="N65" s="243">
        <f t="shared" si="12"/>
        <v>0.52075920202218273</v>
      </c>
      <c r="O65" s="243">
        <f t="shared" si="4"/>
        <v>0.61</v>
      </c>
    </row>
    <row r="66" spans="1:15" ht="18" hidden="1" x14ac:dyDescent="0.35">
      <c r="A66" s="52"/>
      <c r="B66" s="64"/>
      <c r="C66" s="182" t="s">
        <v>62</v>
      </c>
      <c r="D66" s="269">
        <f>D32*(v_th-V_F)/1000/3.6</f>
        <v>2.0223447043534746</v>
      </c>
      <c r="G66" s="41">
        <v>1</v>
      </c>
      <c r="J66" s="53">
        <v>62</v>
      </c>
      <c r="K66" s="242">
        <f t="shared" si="10"/>
        <v>31.798912824294419</v>
      </c>
      <c r="L66" s="268">
        <f t="shared" si="3"/>
        <v>0.55499572733858671</v>
      </c>
      <c r="M66" s="243">
        <f t="shared" si="11"/>
        <v>0.84990269171237953</v>
      </c>
      <c r="N66" s="243">
        <f t="shared" si="12"/>
        <v>0.5269396688616752</v>
      </c>
      <c r="O66" s="243">
        <f t="shared" si="4"/>
        <v>0.61999999999999988</v>
      </c>
    </row>
    <row r="67" spans="1:15" hidden="1" x14ac:dyDescent="0.25">
      <c r="A67" s="52"/>
      <c r="B67" s="64"/>
      <c r="C67" s="112"/>
      <c r="G67" s="33"/>
      <c r="J67" s="53">
        <v>63</v>
      </c>
      <c r="K67" s="242">
        <f t="shared" si="10"/>
        <v>32.210927723673755</v>
      </c>
      <c r="L67" s="268">
        <f t="shared" si="3"/>
        <v>0.56218674390002932</v>
      </c>
      <c r="M67" s="243">
        <f t="shared" si="11"/>
        <v>0.84609151803892679</v>
      </c>
      <c r="N67" s="243">
        <f t="shared" si="12"/>
        <v>0.53303765636452405</v>
      </c>
      <c r="O67" s="243">
        <f t="shared" si="4"/>
        <v>0.63000000000000023</v>
      </c>
    </row>
    <row r="68" spans="1:15" hidden="1" x14ac:dyDescent="0.25">
      <c r="A68" s="81"/>
      <c r="B68" s="49"/>
      <c r="D68" s="39"/>
      <c r="G68" s="33"/>
      <c r="J68" s="53">
        <v>64</v>
      </c>
      <c r="K68" s="242">
        <f t="shared" si="10"/>
        <v>32.619243071192827</v>
      </c>
      <c r="L68" s="268">
        <f t="shared" si="3"/>
        <v>0.56931319110066192</v>
      </c>
      <c r="M68" s="243">
        <f t="shared" si="11"/>
        <v>0.84227140066151129</v>
      </c>
      <c r="N68" s="243">
        <f t="shared" si="12"/>
        <v>0.53905369642336731</v>
      </c>
      <c r="O68" s="243">
        <f t="shared" si="4"/>
        <v>0.64</v>
      </c>
    </row>
    <row r="69" spans="1:15" ht="18" hidden="1" x14ac:dyDescent="0.35">
      <c r="A69" s="52"/>
      <c r="B69" s="29" t="s">
        <v>94</v>
      </c>
      <c r="C69" t="str">
        <f>CONCATENATE(0.5,"*",roh_Luft,"*",cw,"*",A,"*(",E61,"/",3.6,")^3")</f>
        <v>0,5*1,18*0,3*2,4*(/3,6)^3</v>
      </c>
      <c r="G69" s="33"/>
      <c r="J69" s="53">
        <v>65</v>
      </c>
      <c r="K69" s="242">
        <f t="shared" ref="K69" si="13">180/PI()*ATAN(J69/100)</f>
        <v>33.023867555796649</v>
      </c>
      <c r="L69" s="268">
        <f t="shared" si="3"/>
        <v>0.57637522059118373</v>
      </c>
      <c r="M69" s="243">
        <f t="shared" si="11"/>
        <v>0.83844361630063713</v>
      </c>
      <c r="N69" s="243">
        <f t="shared" ref="N69:N104" si="14">SIN(K69*PI()/180)</f>
        <v>0.54498835059541417</v>
      </c>
      <c r="O69" s="243">
        <f t="shared" si="4"/>
        <v>0.65</v>
      </c>
    </row>
    <row r="70" spans="1:15" ht="18" hidden="1" x14ac:dyDescent="0.35">
      <c r="A70" s="52"/>
      <c r="C70" s="182" t="s">
        <v>182</v>
      </c>
      <c r="D70" s="187">
        <f>0.5*roh_Luft*cw*A*E12^3/3.6^3/1000</f>
        <v>20.003549382716042</v>
      </c>
      <c r="G70" s="33"/>
      <c r="J70" s="53">
        <v>66</v>
      </c>
      <c r="K70" s="242">
        <f t="shared" ref="K70:K104" si="15">180/PI()*ATAN(J70/100)</f>
        <v>33.424811182603804</v>
      </c>
      <c r="L70" s="268">
        <f t="shared" ref="L70:L104" si="16">K70/180*PI()</f>
        <v>0.58337300699385597</v>
      </c>
      <c r="M70" s="243">
        <f t="shared" ref="M70:M104" si="17">COS(K70*PI()/180)</f>
        <v>0.83460940656172522</v>
      </c>
      <c r="N70" s="243">
        <f t="shared" si="14"/>
        <v>0.55084220833073871</v>
      </c>
      <c r="O70" s="243">
        <f t="shared" ref="O70:O104" si="18">TAN(K70*PI()/180)</f>
        <v>0.66</v>
      </c>
    </row>
    <row r="71" spans="1:15" hidden="1" x14ac:dyDescent="0.25">
      <c r="A71" s="52"/>
      <c r="C71" s="29"/>
      <c r="D71" s="42"/>
      <c r="G71" s="33"/>
      <c r="J71" s="53">
        <v>67</v>
      </c>
      <c r="K71" s="242">
        <f t="shared" si="15"/>
        <v>33.822085217493957</v>
      </c>
      <c r="L71" s="268">
        <f t="shared" si="16"/>
        <v>0.590306746935372</v>
      </c>
      <c r="M71" s="243">
        <f t="shared" si="17"/>
        <v>0.83076997797096708</v>
      </c>
      <c r="N71" s="243">
        <f t="shared" si="14"/>
        <v>0.55661588524054795</v>
      </c>
      <c r="O71" s="243">
        <f t="shared" si="18"/>
        <v>0.67</v>
      </c>
    </row>
    <row r="72" spans="1:15" hidden="1" x14ac:dyDescent="0.25">
      <c r="A72" s="52"/>
      <c r="C72" s="29"/>
      <c r="D72" s="101"/>
      <c r="G72" s="33"/>
      <c r="J72" s="53">
        <v>68</v>
      </c>
      <c r="K72" s="242">
        <f t="shared" si="15"/>
        <v>34.215702132437407</v>
      </c>
      <c r="L72" s="268">
        <f t="shared" si="16"/>
        <v>0.59717665809267761</v>
      </c>
      <c r="M72" s="243">
        <f t="shared" si="17"/>
        <v>0.82692650206952811</v>
      </c>
      <c r="N72" s="243">
        <f t="shared" si="14"/>
        <v>0.56231002140727915</v>
      </c>
      <c r="O72" s="243">
        <f t="shared" si="18"/>
        <v>0.68</v>
      </c>
    </row>
    <row r="73" spans="1:15" ht="18" hidden="1" x14ac:dyDescent="0.35">
      <c r="A73" s="52"/>
      <c r="B73" s="180" t="s">
        <v>95</v>
      </c>
      <c r="C73" s="66" t="str">
        <f>CONCATENATE(m_F_normal,"*",g_Erdbeschl.,"*",fr,"*",V_F,"/3,6")</f>
        <v>1300*9,81*0,01*130/3,6</v>
      </c>
      <c r="G73" s="33"/>
      <c r="J73" s="53">
        <v>69</v>
      </c>
      <c r="K73" s="242">
        <f t="shared" si="15"/>
        <v>34.605675551638562</v>
      </c>
      <c r="L73" s="268">
        <f t="shared" si="16"/>
        <v>0.60398297825299785</v>
      </c>
      <c r="M73" s="243">
        <f t="shared" si="17"/>
        <v>0.82308011556249761</v>
      </c>
      <c r="N73" s="243">
        <f t="shared" si="14"/>
        <v>0.56792527973812323</v>
      </c>
      <c r="O73" s="243">
        <f t="shared" si="18"/>
        <v>0.69</v>
      </c>
    </row>
    <row r="74" spans="1:15" ht="18" hidden="1" x14ac:dyDescent="0.35">
      <c r="A74" s="52"/>
      <c r="C74" s="182" t="s">
        <v>183</v>
      </c>
      <c r="D74" s="187">
        <f>m_F_normal*g_Erdbeschl.*fr*V_F/3.6/1000</f>
        <v>4.6052499999999998</v>
      </c>
      <c r="G74" s="33"/>
      <c r="J74" s="53">
        <v>70</v>
      </c>
      <c r="K74" s="242">
        <f t="shared" si="15"/>
        <v>34.992020198558663</v>
      </c>
      <c r="L74" s="268">
        <f t="shared" si="16"/>
        <v>0.61072596438920868</v>
      </c>
      <c r="M74" s="243">
        <f t="shared" si="17"/>
        <v>0.81923192051904048</v>
      </c>
      <c r="N74" s="243">
        <f t="shared" si="14"/>
        <v>0.57346234436332832</v>
      </c>
      <c r="O74" s="243">
        <f t="shared" si="18"/>
        <v>0.70000000000000007</v>
      </c>
    </row>
    <row r="75" spans="1:15" hidden="1" x14ac:dyDescent="0.25">
      <c r="A75" s="52"/>
      <c r="G75" s="33"/>
      <c r="J75" s="53">
        <v>71</v>
      </c>
      <c r="K75" s="242">
        <f t="shared" si="15"/>
        <v>35.374751843876084</v>
      </c>
      <c r="L75" s="268">
        <f t="shared" si="16"/>
        <v>0.61740589175157279</v>
      </c>
      <c r="M75" s="243">
        <f t="shared" si="17"/>
        <v>0.81538298462027692</v>
      </c>
      <c r="N75" s="243">
        <f t="shared" si="14"/>
        <v>0.57892191908039659</v>
      </c>
      <c r="O75" s="243">
        <f t="shared" si="18"/>
        <v>0.71</v>
      </c>
    </row>
    <row r="76" spans="1:15" hidden="1" x14ac:dyDescent="0.25">
      <c r="A76" s="52"/>
      <c r="G76" s="33"/>
      <c r="J76" s="53">
        <v>76</v>
      </c>
      <c r="K76" s="242">
        <f t="shared" si="15"/>
        <v>37.234833981574667</v>
      </c>
      <c r="L76" s="268">
        <f t="shared" si="16"/>
        <v>0.6498704494119476</v>
      </c>
      <c r="M76" s="243">
        <f t="shared" si="17"/>
        <v>0.79616219412310252</v>
      </c>
      <c r="N76" s="243">
        <f t="shared" si="14"/>
        <v>0.6050832675335579</v>
      </c>
      <c r="O76" s="243">
        <f t="shared" si="18"/>
        <v>0.76</v>
      </c>
    </row>
    <row r="77" spans="1:15" ht="18" hidden="1" x14ac:dyDescent="0.35">
      <c r="A77" s="52"/>
      <c r="B77" s="180" t="s">
        <v>184</v>
      </c>
      <c r="C77" s="66" t="str">
        <f>CONCATENATE(m_F_normal,"*",g_Erdbeschl.,"*",p,"*",V_F,"/3,6")</f>
        <v>1300*9,81*0,03*130/3,6</v>
      </c>
      <c r="G77" s="33"/>
      <c r="J77" s="53">
        <v>77</v>
      </c>
      <c r="K77" s="242">
        <f t="shared" si="15"/>
        <v>37.596271147211986</v>
      </c>
      <c r="L77" s="268">
        <f t="shared" si="16"/>
        <v>0.65617871799139482</v>
      </c>
      <c r="M77" s="243">
        <f t="shared" si="17"/>
        <v>0.79232935038733465</v>
      </c>
      <c r="N77" s="243">
        <f t="shared" si="14"/>
        <v>0.61009359979824762</v>
      </c>
      <c r="O77" s="243">
        <f t="shared" si="18"/>
        <v>0.76999999999999991</v>
      </c>
    </row>
    <row r="78" spans="1:15" ht="18" hidden="1" x14ac:dyDescent="0.35">
      <c r="A78" s="52"/>
      <c r="C78" s="182" t="s">
        <v>184</v>
      </c>
      <c r="D78" s="187">
        <f>m_F_normal*g_Erdbeschl.*p*V_F/3.6/1000</f>
        <v>13.815749999999998</v>
      </c>
      <c r="G78" s="33"/>
      <c r="J78" s="53">
        <v>78</v>
      </c>
      <c r="K78" s="242">
        <f t="shared" si="15"/>
        <v>37.954230875132517</v>
      </c>
      <c r="L78" s="268">
        <f t="shared" si="16"/>
        <v>0.66242629383315121</v>
      </c>
      <c r="M78" s="243">
        <f t="shared" si="17"/>
        <v>0.78850230601779103</v>
      </c>
      <c r="N78" s="243">
        <f t="shared" si="14"/>
        <v>0.61503179869387714</v>
      </c>
      <c r="O78" s="243">
        <f t="shared" si="18"/>
        <v>0.78000000000000014</v>
      </c>
    </row>
    <row r="79" spans="1:15" hidden="1" x14ac:dyDescent="0.25">
      <c r="A79" s="52"/>
      <c r="G79" s="33"/>
      <c r="J79" s="53">
        <v>79</v>
      </c>
      <c r="K79" s="242">
        <f t="shared" si="15"/>
        <v>38.308735567447719</v>
      </c>
      <c r="L79" s="268">
        <f t="shared" si="16"/>
        <v>0.66861356792782101</v>
      </c>
      <c r="M79" s="243">
        <f t="shared" si="17"/>
        <v>0.78468186716534205</v>
      </c>
      <c r="N79" s="243">
        <f t="shared" si="14"/>
        <v>0.61989867506062035</v>
      </c>
      <c r="O79" s="243">
        <f t="shared" si="18"/>
        <v>0.79000000000000015</v>
      </c>
    </row>
    <row r="80" spans="1:15" hidden="1" x14ac:dyDescent="0.25">
      <c r="A80" s="52"/>
      <c r="G80" s="41">
        <v>1</v>
      </c>
      <c r="J80" s="53">
        <v>72</v>
      </c>
      <c r="K80" s="242">
        <f>180/PI()*ATAN(J80/100)</f>
        <v>35.753887254436748</v>
      </c>
      <c r="L80" s="268">
        <f t="shared" si="16"/>
        <v>0.62402305297675686</v>
      </c>
      <c r="M80" s="243">
        <f>COS(K80*PI()/180)</f>
        <v>0.81153434145149439</v>
      </c>
      <c r="N80" s="243">
        <f t="shared" si="14"/>
        <v>0.58430472584507587</v>
      </c>
      <c r="O80" s="243">
        <f t="shared" si="18"/>
        <v>0.71999999999999986</v>
      </c>
    </row>
    <row r="81" spans="1:15" ht="18" hidden="1" x14ac:dyDescent="0.35">
      <c r="A81" s="52"/>
      <c r="B81" s="29" t="s">
        <v>57</v>
      </c>
      <c r="C81" t="str" cm="1">
        <f t="array" ref="C81">CONCATENATE(ROUND(P_S,2)," + ",ROUND(D70,2),"+",D74,"+",D78)</f>
        <v>2,02 + 20+4,60525+13,81575</v>
      </c>
      <c r="G81" s="33"/>
      <c r="J81" s="53">
        <v>73</v>
      </c>
      <c r="K81" s="242">
        <f>180/PI()*ATAN(J81/100)</f>
        <v>36.12944414324086</v>
      </c>
      <c r="L81" s="268">
        <f t="shared" si="16"/>
        <v>0.63057775721493481</v>
      </c>
      <c r="M81" s="243">
        <f>COS(K81*PI()/180)</f>
        <v>0.80768699083538575</v>
      </c>
      <c r="N81" s="243">
        <f t="shared" si="14"/>
        <v>0.58961150330983159</v>
      </c>
      <c r="O81" s="243">
        <f t="shared" si="18"/>
        <v>0.73</v>
      </c>
    </row>
    <row r="82" spans="1:15" ht="18" hidden="1" x14ac:dyDescent="0.35">
      <c r="A82" s="52"/>
      <c r="C82" s="182" t="s">
        <v>57</v>
      </c>
      <c r="D82" s="183">
        <f>P_S+D70+D74+D78</f>
        <v>40.446894087069509</v>
      </c>
      <c r="G82" s="41">
        <v>1</v>
      </c>
      <c r="J82" s="53">
        <v>74</v>
      </c>
      <c r="K82" s="242">
        <f>180/PI()*ATAN(J82/100)</f>
        <v>36.501441120506314</v>
      </c>
      <c r="L82" s="268">
        <f t="shared" si="16"/>
        <v>0.63707032927568341</v>
      </c>
      <c r="M82" s="243">
        <f>COS(K82*PI()/180)</f>
        <v>0.8038418992031009</v>
      </c>
      <c r="N82" s="243">
        <f t="shared" si="14"/>
        <v>0.59484300541029456</v>
      </c>
      <c r="O82" s="243">
        <f t="shared" si="18"/>
        <v>0.73999999999999988</v>
      </c>
    </row>
    <row r="83" spans="1:15" hidden="1" x14ac:dyDescent="0.25">
      <c r="A83" s="52"/>
      <c r="G83" s="33"/>
      <c r="J83" s="53">
        <v>75</v>
      </c>
      <c r="K83" s="242">
        <f>180/PI()*ATAN(J83/100)</f>
        <v>36.86989764584402</v>
      </c>
      <c r="L83" s="268">
        <f t="shared" si="16"/>
        <v>0.64350110879328437</v>
      </c>
      <c r="M83" s="243">
        <f>COS(K83*PI()/180)</f>
        <v>0.8</v>
      </c>
      <c r="N83" s="243">
        <f t="shared" si="14"/>
        <v>0.6</v>
      </c>
      <c r="O83" s="243">
        <f t="shared" si="18"/>
        <v>0.75</v>
      </c>
    </row>
    <row r="84" spans="1:15" hidden="1" x14ac:dyDescent="0.25">
      <c r="A84" s="52"/>
      <c r="G84" s="41">
        <v>1</v>
      </c>
      <c r="J84" s="53">
        <v>80</v>
      </c>
      <c r="K84" s="242">
        <f t="shared" si="15"/>
        <v>38.659808254090095</v>
      </c>
      <c r="L84" s="268">
        <f t="shared" si="16"/>
        <v>0.67474094222355263</v>
      </c>
      <c r="M84" s="243">
        <f t="shared" si="17"/>
        <v>0.78086880944303039</v>
      </c>
      <c r="N84" s="243">
        <f t="shared" si="14"/>
        <v>0.62469504755442429</v>
      </c>
      <c r="O84" s="243">
        <f t="shared" si="18"/>
        <v>0.79999999999999993</v>
      </c>
    </row>
    <row r="85" spans="1:15" ht="18" hidden="1" x14ac:dyDescent="0.35">
      <c r="A85" s="52"/>
      <c r="B85" s="29" t="s">
        <v>58</v>
      </c>
      <c r="C85" t="str">
        <f>CONCATENATE(ROUND(D82,2),"/",eta_Tr)</f>
        <v>40,45/0,94</v>
      </c>
      <c r="G85" s="44"/>
      <c r="J85" s="53">
        <v>81</v>
      </c>
      <c r="K85" s="242">
        <f t="shared" si="15"/>
        <v>39.007472552121044</v>
      </c>
      <c r="L85" s="268">
        <f t="shared" si="16"/>
        <v>0.68080882891582761</v>
      </c>
      <c r="M85" s="243">
        <f t="shared" si="17"/>
        <v>0.77706387848082314</v>
      </c>
      <c r="N85" s="243">
        <f t="shared" si="14"/>
        <v>0.62942174156946673</v>
      </c>
      <c r="O85" s="243">
        <f t="shared" si="18"/>
        <v>0.81</v>
      </c>
    </row>
    <row r="86" spans="1:15" ht="18" hidden="1" x14ac:dyDescent="0.25">
      <c r="A86" s="52"/>
      <c r="C86" s="196" t="s">
        <v>58</v>
      </c>
      <c r="D86" s="187">
        <f>D82/eta_Tr</f>
        <v>43.02861073092501</v>
      </c>
      <c r="G86" s="41">
        <v>1</v>
      </c>
      <c r="J86" s="53">
        <v>82</v>
      </c>
      <c r="K86" s="242">
        <f t="shared" si="15"/>
        <v>39.351752626264734</v>
      </c>
      <c r="L86" s="268">
        <f t="shared" si="16"/>
        <v>0.68681764975864523</v>
      </c>
      <c r="M86" s="243">
        <f t="shared" si="17"/>
        <v>0.77326779049639849</v>
      </c>
      <c r="N86" s="243">
        <f t="shared" si="14"/>
        <v>0.63407958820704668</v>
      </c>
      <c r="O86" s="243">
        <f t="shared" si="18"/>
        <v>0.82</v>
      </c>
    </row>
    <row r="87" spans="1:15" hidden="1" x14ac:dyDescent="0.25">
      <c r="A87" s="52"/>
      <c r="G87" s="33"/>
      <c r="J87" s="53">
        <v>83</v>
      </c>
      <c r="K87" s="242">
        <f t="shared" si="15"/>
        <v>39.692673150668817</v>
      </c>
      <c r="L87" s="268">
        <f t="shared" si="16"/>
        <v>0.69276783539712206</v>
      </c>
      <c r="M87" s="243">
        <f t="shared" si="17"/>
        <v>0.76948123287976278</v>
      </c>
      <c r="N87" s="243">
        <f t="shared" si="14"/>
        <v>0.63866942329020293</v>
      </c>
      <c r="O87" s="243">
        <f t="shared" si="18"/>
        <v>0.82999999999999974</v>
      </c>
    </row>
    <row r="88" spans="1:15" hidden="1" x14ac:dyDescent="0.25">
      <c r="A88" s="52"/>
      <c r="C88" s="39"/>
      <c r="D88" s="201"/>
      <c r="G88" s="41">
        <v>1</v>
      </c>
      <c r="J88" s="53">
        <v>84</v>
      </c>
      <c r="K88" s="242">
        <f t="shared" si="15"/>
        <v>40.030259271889697</v>
      </c>
      <c r="L88" s="268">
        <f t="shared" si="16"/>
        <v>0.69865982472146315</v>
      </c>
      <c r="M88" s="243">
        <f t="shared" si="17"/>
        <v>0.76570486478961108</v>
      </c>
      <c r="N88" s="243">
        <f t="shared" si="14"/>
        <v>0.6431920864232733</v>
      </c>
      <c r="O88" s="243">
        <f t="shared" si="18"/>
        <v>0.84</v>
      </c>
    </row>
    <row r="89" spans="1:15" ht="18" hidden="1" x14ac:dyDescent="0.35">
      <c r="A89" s="52"/>
      <c r="B89" s="29" t="s">
        <v>125</v>
      </c>
      <c r="C89" s="39" t="str">
        <f>CONCATENATE(ROUND(D86,2)," *(1 - ",eta_Tr," )")</f>
        <v>43,03 *(1 - 0,94 )</v>
      </c>
      <c r="D89" s="201"/>
      <c r="G89" s="44"/>
      <c r="J89" s="53">
        <v>85</v>
      </c>
      <c r="K89" s="242">
        <f t="shared" si="15"/>
        <v>40.364536573097361</v>
      </c>
      <c r="L89" s="268">
        <f t="shared" si="16"/>
        <v>0.70449406424221772</v>
      </c>
      <c r="M89" s="243">
        <f t="shared" si="17"/>
        <v>0.76193931775945933</v>
      </c>
      <c r="N89" s="243">
        <f t="shared" si="14"/>
        <v>0.64764842009554047</v>
      </c>
      <c r="O89" s="243">
        <f t="shared" si="18"/>
        <v>0.85</v>
      </c>
    </row>
    <row r="90" spans="1:15" ht="18" hidden="1" x14ac:dyDescent="0.25">
      <c r="A90" s="52"/>
      <c r="C90" s="196" t="s">
        <v>125</v>
      </c>
      <c r="D90" s="187">
        <f>E78*(1-eta_Tr)</f>
        <v>0</v>
      </c>
      <c r="G90" s="41">
        <v>1</v>
      </c>
      <c r="J90" s="53">
        <v>86</v>
      </c>
      <c r="K90" s="242">
        <f t="shared" si="15"/>
        <v>40.695531039492018</v>
      </c>
      <c r="L90" s="268">
        <f t="shared" si="16"/>
        <v>0.71027100748668626</v>
      </c>
      <c r="M90" s="243">
        <f t="shared" si="17"/>
        <v>0.75818519631168302</v>
      </c>
      <c r="N90" s="243">
        <f t="shared" si="14"/>
        <v>0.65203926882804741</v>
      </c>
      <c r="O90" s="243">
        <f t="shared" si="18"/>
        <v>0.8600000000000001</v>
      </c>
    </row>
    <row r="91" spans="1:15" hidden="1" x14ac:dyDescent="0.25">
      <c r="A91" s="52"/>
      <c r="G91" s="33"/>
      <c r="H91" s="51">
        <f>SUM(G64:G86)</f>
        <v>6</v>
      </c>
      <c r="J91" s="53">
        <v>87</v>
      </c>
      <c r="K91" s="242">
        <f t="shared" si="15"/>
        <v>41.023269024922435</v>
      </c>
      <c r="L91" s="268">
        <f t="shared" si="16"/>
        <v>0.71599111441630015</v>
      </c>
      <c r="M91" s="243">
        <f t="shared" si="17"/>
        <v>0.75444307857771464</v>
      </c>
      <c r="N91" s="243">
        <f t="shared" si="14"/>
        <v>0.65636547836261183</v>
      </c>
      <c r="O91" s="243">
        <f t="shared" si="18"/>
        <v>0.87000000000000011</v>
      </c>
    </row>
    <row r="92" spans="1:15" ht="15.75" hidden="1" thickBot="1" x14ac:dyDescent="0.3">
      <c r="A92" s="37"/>
      <c r="B92" s="38"/>
      <c r="C92" s="38"/>
      <c r="D92" s="38"/>
      <c r="E92" s="38"/>
      <c r="F92" s="38"/>
      <c r="G92" s="34"/>
      <c r="J92" s="53">
        <v>88</v>
      </c>
      <c r="K92" s="242">
        <f t="shared" si="15"/>
        <v>41.347777219693668</v>
      </c>
      <c r="L92" s="268">
        <f t="shared" si="16"/>
        <v>0.72165485086476122</v>
      </c>
      <c r="M92" s="243">
        <f t="shared" si="17"/>
        <v>0.75071351692275523</v>
      </c>
      <c r="N92" s="243">
        <f t="shared" si="14"/>
        <v>0.66062789489202478</v>
      </c>
      <c r="O92" s="243">
        <f t="shared" si="18"/>
        <v>0.88000000000000012</v>
      </c>
    </row>
    <row r="93" spans="1:15" x14ac:dyDescent="0.25">
      <c r="J93" s="53">
        <v>89</v>
      </c>
      <c r="K93" s="242">
        <f t="shared" si="15"/>
        <v>41.669082619549954</v>
      </c>
      <c r="L93" s="268">
        <f t="shared" si="16"/>
        <v>0.72726268799669036</v>
      </c>
      <c r="M93" s="243">
        <f t="shared" si="17"/>
        <v>0.74699703857346056</v>
      </c>
      <c r="N93" s="243">
        <f t="shared" si="14"/>
        <v>0.66482736433038003</v>
      </c>
      <c r="O93" s="243">
        <f t="shared" si="18"/>
        <v>0.89000000000000012</v>
      </c>
    </row>
    <row r="94" spans="1:15" x14ac:dyDescent="0.25">
      <c r="J94" s="53">
        <v>90</v>
      </c>
      <c r="K94" s="242">
        <f t="shared" si="15"/>
        <v>41.987212495816657</v>
      </c>
      <c r="L94" s="268">
        <f t="shared" si="16"/>
        <v>0.73281510178650655</v>
      </c>
      <c r="M94" s="243">
        <f t="shared" si="17"/>
        <v>0.74329414624716639</v>
      </c>
      <c r="N94" s="243">
        <f t="shared" si="14"/>
        <v>0.66896473162244963</v>
      </c>
      <c r="O94" s="243">
        <f t="shared" si="18"/>
        <v>0.89999999999999969</v>
      </c>
    </row>
    <row r="95" spans="1:15" x14ac:dyDescent="0.25">
      <c r="J95" s="53">
        <v>91</v>
      </c>
      <c r="K95" s="242">
        <f t="shared" si="15"/>
        <v>42.3021943666837</v>
      </c>
      <c r="L95" s="268">
        <f t="shared" si="16"/>
        <v>0.73831257251722804</v>
      </c>
      <c r="M95" s="243">
        <f t="shared" si="17"/>
        <v>0.73960531878131308</v>
      </c>
      <c r="N95" s="243">
        <f t="shared" si="14"/>
        <v>0.67304084009099496</v>
      </c>
      <c r="O95" s="243">
        <f t="shared" si="18"/>
        <v>0.91</v>
      </c>
    </row>
    <row r="96" spans="1:15" x14ac:dyDescent="0.25">
      <c r="J96" s="53">
        <v>92</v>
      </c>
      <c r="K96" s="242">
        <f t="shared" si="15"/>
        <v>42.614055969611186</v>
      </c>
      <c r="L96" s="268">
        <f t="shared" si="16"/>
        <v>0.74375558429885991</v>
      </c>
      <c r="M96" s="243">
        <f t="shared" si="17"/>
        <v>0.73593101176182973</v>
      </c>
      <c r="N96" s="243">
        <f t="shared" si="14"/>
        <v>0.67705653082088324</v>
      </c>
      <c r="O96" s="243">
        <f t="shared" si="18"/>
        <v>0.91999999999999982</v>
      </c>
    </row>
    <row r="97" spans="10:15" x14ac:dyDescent="0.25">
      <c r="J97" s="53">
        <v>93</v>
      </c>
      <c r="K97" s="242">
        <f t="shared" si="15"/>
        <v>42.922825234837191</v>
      </c>
      <c r="L97" s="268">
        <f t="shared" si="16"/>
        <v>0.74914462460601727</v>
      </c>
      <c r="M97" s="243">
        <f t="shared" si="17"/>
        <v>0.73227165814932205</v>
      </c>
      <c r="N97" s="243">
        <f t="shared" si="14"/>
        <v>0.68101264207886947</v>
      </c>
      <c r="O97" s="243">
        <f t="shared" si="18"/>
        <v>0.92999999999999994</v>
      </c>
    </row>
    <row r="98" spans="10:15" x14ac:dyDescent="0.25">
      <c r="J98" s="53">
        <v>94</v>
      </c>
      <c r="K98" s="242">
        <f t="shared" si="15"/>
        <v>43.228530259965922</v>
      </c>
      <c r="L98" s="268">
        <f t="shared" si="16"/>
        <v>0.75448018383440563</v>
      </c>
      <c r="M98" s="243">
        <f t="shared" si="17"/>
        <v>0.72862766890200736</v>
      </c>
      <c r="N98" s="243">
        <f t="shared" si="14"/>
        <v>0.68491000876788677</v>
      </c>
      <c r="O98" s="243">
        <f t="shared" si="18"/>
        <v>0.93999999999999972</v>
      </c>
    </row>
    <row r="99" spans="10:15" x14ac:dyDescent="0.25">
      <c r="J99" s="53">
        <v>95</v>
      </c>
      <c r="K99" s="242">
        <f t="shared" si="15"/>
        <v>43.531199285614179</v>
      </c>
      <c r="L99" s="268">
        <f t="shared" si="16"/>
        <v>0.75976275487577083</v>
      </c>
      <c r="M99" s="243">
        <f t="shared" si="17"/>
        <v>0.72499943359441377</v>
      </c>
      <c r="N99" s="243">
        <f t="shared" si="14"/>
        <v>0.68874946191469311</v>
      </c>
      <c r="O99" s="243">
        <f t="shared" si="18"/>
        <v>0.95</v>
      </c>
    </row>
    <row r="100" spans="10:15" x14ac:dyDescent="0.25">
      <c r="J100" s="53">
        <v>96</v>
      </c>
      <c r="K100" s="242">
        <f t="shared" si="15"/>
        <v>43.830860672092584</v>
      </c>
      <c r="L100" s="268">
        <f t="shared" si="16"/>
        <v>0.76499283271091023</v>
      </c>
      <c r="M100" s="243">
        <f t="shared" si="17"/>
        <v>0.7213873210309516</v>
      </c>
      <c r="N100" s="243">
        <f t="shared" si="14"/>
        <v>0.69253182818971348</v>
      </c>
      <c r="O100" s="243">
        <f t="shared" si="18"/>
        <v>0.96</v>
      </c>
    </row>
    <row r="101" spans="10:15" x14ac:dyDescent="0.25">
      <c r="J101" s="53">
        <v>97</v>
      </c>
      <c r="K101" s="242">
        <f t="shared" si="15"/>
        <v>44.127542877097966</v>
      </c>
      <c r="L101" s="268">
        <f t="shared" si="16"/>
        <v>0.770170914020331</v>
      </c>
      <c r="M101" s="243">
        <f t="shared" si="17"/>
        <v>0.71779167985353431</v>
      </c>
      <c r="N101" s="243">
        <f t="shared" si="14"/>
        <v>0.69625792945792819</v>
      </c>
      <c r="O101" s="243">
        <f t="shared" si="18"/>
        <v>0.96999999999999975</v>
      </c>
    </row>
    <row r="102" spans="10:15" x14ac:dyDescent="0.25">
      <c r="J102" s="53">
        <v>98</v>
      </c>
      <c r="K102" s="242">
        <f t="shared" si="15"/>
        <v>44.421274434392238</v>
      </c>
      <c r="L102" s="268">
        <f t="shared" si="16"/>
        <v>0.77529749681212645</v>
      </c>
      <c r="M102" s="243">
        <f t="shared" si="17"/>
        <v>0.71421283914250722</v>
      </c>
      <c r="N102" s="243">
        <f t="shared" si="14"/>
        <v>0.69992858235965694</v>
      </c>
      <c r="O102" s="243">
        <f t="shared" si="18"/>
        <v>0.97999999999999987</v>
      </c>
    </row>
    <row r="103" spans="10:15" x14ac:dyDescent="0.25">
      <c r="J103" s="53">
        <v>99</v>
      </c>
      <c r="K103" s="242">
        <f t="shared" si="15"/>
        <v>44.712083933442905</v>
      </c>
      <c r="L103" s="268">
        <f t="shared" si="16"/>
        <v>0.78037308006663575</v>
      </c>
      <c r="M103" s="243">
        <f t="shared" si="17"/>
        <v>0.71065110901020734</v>
      </c>
      <c r="N103" s="243">
        <f t="shared" si="14"/>
        <v>0.70354459792010504</v>
      </c>
      <c r="O103" s="243">
        <f t="shared" si="18"/>
        <v>0.98999999999999966</v>
      </c>
    </row>
    <row r="104" spans="10:15" x14ac:dyDescent="0.25">
      <c r="J104" s="53">
        <v>100</v>
      </c>
      <c r="K104" s="242">
        <f t="shared" si="15"/>
        <v>45</v>
      </c>
      <c r="L104" s="268">
        <f t="shared" si="16"/>
        <v>0.78539816339744828</v>
      </c>
      <c r="M104" s="243">
        <f t="shared" si="17"/>
        <v>0.70710678118654757</v>
      </c>
      <c r="N104" s="243">
        <f t="shared" si="14"/>
        <v>0.70710678118654746</v>
      </c>
      <c r="O104" s="243">
        <f t="shared" si="18"/>
        <v>0.99999999999999989</v>
      </c>
    </row>
  </sheetData>
  <mergeCells count="2">
    <mergeCell ref="A1:G2"/>
    <mergeCell ref="A3:G11"/>
  </mergeCells>
  <pageMargins left="0.7" right="0.7" top="0.75" bottom="0.75" header="0.3" footer="0.3"/>
  <pageSetup paperSize="9" scale="92" orientation="portrait" r:id="rId1"/>
  <headerFooter>
    <oddHeader>&amp;L&amp;"Calibri"&amp;10&amp;K000000Internal&amp;1#&amp;R&amp;"Calibri"&amp;10&amp;K000000&amp;1#_x000D_&amp;"Arial"&amp;11&amp;K000000&amp;"Arial"&amp;11&amp;K000000&amp;"Arial"&amp;11&amp;K000000&amp;"Arial"&amp;11&amp;K000000&amp;"Arial"&amp;11&amp;K000000&amp;"Arial"&amp;11&amp;K000000&amp;"Arial"&amp;11&amp;K000000&amp;"Arial"&amp;11&amp;K000000&amp;"Arial"&amp;11&amp;K000000&amp;G</oddHeader>
  </headerFooter>
  <rowBreaks count="1" manualBreakCount="1">
    <brk id="33" max="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4.9989318521683403E-2"/>
  </sheetPr>
  <dimension ref="A1:P57"/>
  <sheetViews>
    <sheetView view="pageBreakPreview" zoomScaleNormal="115" zoomScaleSheetLayoutView="100" workbookViewId="0">
      <selection activeCell="E51" sqref="E51"/>
    </sheetView>
  </sheetViews>
  <sheetFormatPr baseColWidth="10" defaultColWidth="11.42578125" defaultRowHeight="15" x14ac:dyDescent="0.25"/>
  <cols>
    <col min="1" max="1" width="15.5703125" customWidth="1"/>
    <col min="2" max="2" width="12.28515625" customWidth="1"/>
    <col min="3" max="3" width="13.28515625" customWidth="1"/>
    <col min="4" max="4" width="14.85546875" customWidth="1"/>
    <col min="5" max="5" width="12.28515625" customWidth="1"/>
    <col min="6" max="6" width="13.28515625" customWidth="1"/>
    <col min="7" max="7" width="13.5703125" customWidth="1"/>
    <col min="8" max="8" width="11.5703125" customWidth="1"/>
  </cols>
  <sheetData>
    <row r="1" spans="1:16" ht="15" customHeight="1" x14ac:dyDescent="0.25">
      <c r="A1" s="334" t="s">
        <v>31</v>
      </c>
      <c r="B1" s="334"/>
      <c r="C1" s="334"/>
      <c r="D1" s="334"/>
      <c r="E1" s="334"/>
      <c r="F1" s="334"/>
      <c r="G1" s="334"/>
    </row>
    <row r="2" spans="1:16" ht="15.75" customHeight="1" thickBot="1" x14ac:dyDescent="0.3">
      <c r="A2" s="335"/>
      <c r="B2" s="335"/>
      <c r="C2" s="335"/>
      <c r="D2" s="335"/>
      <c r="E2" s="335"/>
      <c r="F2" s="335"/>
      <c r="G2" s="335"/>
    </row>
    <row r="3" spans="1:16" ht="15" customHeight="1" x14ac:dyDescent="0.25">
      <c r="A3" s="336" t="s">
        <v>222</v>
      </c>
      <c r="B3" s="337"/>
      <c r="C3" s="337"/>
      <c r="D3" s="337"/>
      <c r="E3" s="337"/>
      <c r="F3" s="337"/>
      <c r="G3" s="338"/>
    </row>
    <row r="4" spans="1:16" x14ac:dyDescent="0.25">
      <c r="A4" s="329"/>
      <c r="B4" s="311"/>
      <c r="C4" s="311"/>
      <c r="D4" s="311"/>
      <c r="E4" s="311"/>
      <c r="F4" s="311"/>
      <c r="G4" s="330"/>
    </row>
    <row r="5" spans="1:16" x14ac:dyDescent="0.25">
      <c r="A5" s="329"/>
      <c r="B5" s="311"/>
      <c r="C5" s="311"/>
      <c r="D5" s="311"/>
      <c r="E5" s="311"/>
      <c r="F5" s="311"/>
      <c r="G5" s="330"/>
      <c r="M5" s="61"/>
      <c r="N5" s="61"/>
      <c r="O5" s="61"/>
      <c r="P5" s="55"/>
    </row>
    <row r="6" spans="1:16" x14ac:dyDescent="0.25">
      <c r="A6" s="329"/>
      <c r="B6" s="311"/>
      <c r="C6" s="311"/>
      <c r="D6" s="311"/>
      <c r="E6" s="311"/>
      <c r="F6" s="311"/>
      <c r="G6" s="330"/>
      <c r="M6" s="61"/>
      <c r="N6" s="61"/>
      <c r="O6" s="61"/>
      <c r="P6" s="55"/>
    </row>
    <row r="7" spans="1:16" x14ac:dyDescent="0.25">
      <c r="A7" s="329"/>
      <c r="B7" s="311"/>
      <c r="C7" s="311"/>
      <c r="D7" s="311"/>
      <c r="E7" s="311"/>
      <c r="F7" s="311"/>
      <c r="G7" s="330"/>
      <c r="M7" s="61"/>
      <c r="N7" s="61"/>
      <c r="O7" s="61"/>
      <c r="P7" s="55"/>
    </row>
    <row r="8" spans="1:16" x14ac:dyDescent="0.25">
      <c r="A8" s="329"/>
      <c r="B8" s="311"/>
      <c r="C8" s="311"/>
      <c r="D8" s="311"/>
      <c r="E8" s="311"/>
      <c r="F8" s="311"/>
      <c r="G8" s="330"/>
      <c r="M8" s="61"/>
      <c r="N8" s="61"/>
      <c r="O8" s="61"/>
      <c r="P8" s="55"/>
    </row>
    <row r="9" spans="1:16" x14ac:dyDescent="0.25">
      <c r="A9" s="329"/>
      <c r="B9" s="311"/>
      <c r="C9" s="311"/>
      <c r="D9" s="311"/>
      <c r="E9" s="311"/>
      <c r="F9" s="311"/>
      <c r="G9" s="330"/>
      <c r="M9" s="61"/>
      <c r="N9" s="61"/>
      <c r="O9" s="61"/>
      <c r="P9" s="55"/>
    </row>
    <row r="10" spans="1:16" x14ac:dyDescent="0.25">
      <c r="A10" s="329"/>
      <c r="B10" s="311"/>
      <c r="C10" s="311"/>
      <c r="D10" s="311"/>
      <c r="E10" s="311"/>
      <c r="F10" s="311"/>
      <c r="G10" s="330"/>
      <c r="M10" s="61"/>
      <c r="N10" s="61"/>
      <c r="O10" s="61"/>
      <c r="P10" s="55"/>
    </row>
    <row r="11" spans="1:16" ht="15.75" thickBot="1" x14ac:dyDescent="0.3">
      <c r="A11" s="329"/>
      <c r="B11" s="311"/>
      <c r="C11" s="311"/>
      <c r="D11" s="311"/>
      <c r="E11" s="311"/>
      <c r="F11" s="311"/>
      <c r="G11" s="330"/>
    </row>
    <row r="12" spans="1:16" ht="29.25" customHeight="1" x14ac:dyDescent="0.35">
      <c r="A12" s="35" t="s">
        <v>117</v>
      </c>
      <c r="B12" s="36"/>
      <c r="C12" s="36"/>
      <c r="D12" s="174"/>
      <c r="E12" s="286" t="s">
        <v>123</v>
      </c>
      <c r="F12" s="287">
        <v>50</v>
      </c>
      <c r="G12" s="198">
        <v>1</v>
      </c>
    </row>
    <row r="13" spans="1:16" ht="18" x14ac:dyDescent="0.35">
      <c r="A13" s="52"/>
      <c r="B13" s="29" t="s">
        <v>118</v>
      </c>
      <c r="C13" t="str">
        <f>CONCATENATE(ROUND(' 2 Fahrwiderst'!D52,2)," * 9549 / ",ROUND(B18,2))</f>
        <v>43,03 * 9549 / 2250</v>
      </c>
      <c r="D13" s="62"/>
      <c r="E13" s="128" t="s">
        <v>210</v>
      </c>
      <c r="F13" s="288">
        <v>145</v>
      </c>
      <c r="G13" s="33"/>
    </row>
    <row r="14" spans="1:16" ht="18" x14ac:dyDescent="0.35">
      <c r="A14" s="52"/>
      <c r="C14" s="203" t="s">
        <v>118</v>
      </c>
      <c r="D14" s="204">
        <f>' 2 Fahrwiderst'!D52*9549/B18</f>
        <v>182.61342394204578</v>
      </c>
      <c r="E14" s="128" t="s">
        <v>218</v>
      </c>
      <c r="F14" s="288">
        <f>F13*0.95</f>
        <v>137.75</v>
      </c>
      <c r="G14" s="193">
        <v>1</v>
      </c>
    </row>
    <row r="15" spans="1:16" ht="18" x14ac:dyDescent="0.35">
      <c r="A15" s="52"/>
      <c r="C15" s="128" t="s">
        <v>118</v>
      </c>
      <c r="D15" s="349">
        <f>F12*9549/B18</f>
        <v>212.2</v>
      </c>
      <c r="G15" s="33"/>
    </row>
    <row r="16" spans="1:16" x14ac:dyDescent="0.25">
      <c r="A16" s="52"/>
      <c r="C16" t="s">
        <v>69</v>
      </c>
      <c r="D16" s="62"/>
      <c r="G16" s="33"/>
    </row>
    <row r="17" spans="1:8" ht="18" x14ac:dyDescent="0.35">
      <c r="A17" s="52"/>
      <c r="B17" s="290" t="s">
        <v>212</v>
      </c>
      <c r="C17" s="119">
        <f>F12</f>
        <v>50</v>
      </c>
      <c r="D17" s="119">
        <f>' 2 Fahrwiderst'!D52</f>
        <v>43.028610730925017</v>
      </c>
      <c r="G17" s="33"/>
    </row>
    <row r="18" spans="1:8" ht="15.75" x14ac:dyDescent="0.25">
      <c r="A18" s="52"/>
      <c r="B18" s="120">
        <v>2250</v>
      </c>
      <c r="C18" s="138">
        <f>C$17/$B18*9554</f>
        <v>212.31111111111113</v>
      </c>
      <c r="D18" s="139">
        <f>D$17/$B18*9549</f>
        <v>182.61342394204576</v>
      </c>
      <c r="G18" s="100">
        <v>0.5</v>
      </c>
    </row>
    <row r="19" spans="1:8" ht="15.75" x14ac:dyDescent="0.25">
      <c r="A19" s="52"/>
      <c r="B19" s="120">
        <v>3000</v>
      </c>
      <c r="C19" s="138">
        <f>C$17/$B19*9554</f>
        <v>159.23333333333332</v>
      </c>
      <c r="D19" s="139">
        <f>D$17/$B19*9549</f>
        <v>136.96006795653432</v>
      </c>
      <c r="G19" s="100">
        <v>0.5</v>
      </c>
    </row>
    <row r="20" spans="1:8" ht="15.75" x14ac:dyDescent="0.25">
      <c r="A20" s="52"/>
      <c r="B20" s="120">
        <v>4500</v>
      </c>
      <c r="C20" s="138">
        <f>C$17/$B20*9554</f>
        <v>106.15555555555557</v>
      </c>
      <c r="D20" s="139">
        <f>D$17/$B20*9549</f>
        <v>91.306711971022878</v>
      </c>
      <c r="G20" s="100">
        <v>0.5</v>
      </c>
    </row>
    <row r="21" spans="1:8" ht="15.75" x14ac:dyDescent="0.25">
      <c r="A21" s="52"/>
      <c r="B21" s="120">
        <v>6000</v>
      </c>
      <c r="C21" s="138">
        <f>C$17/$B21*9554</f>
        <v>79.61666666666666</v>
      </c>
      <c r="D21" s="139">
        <f>D$17/$B21*9549</f>
        <v>68.480033978267159</v>
      </c>
      <c r="G21" s="100">
        <v>0.5</v>
      </c>
    </row>
    <row r="22" spans="1:8" x14ac:dyDescent="0.25">
      <c r="A22" s="52"/>
      <c r="G22" s="44"/>
    </row>
    <row r="23" spans="1:8" x14ac:dyDescent="0.25">
      <c r="A23" s="52"/>
      <c r="F23" t="s">
        <v>178</v>
      </c>
      <c r="G23" s="41">
        <v>2</v>
      </c>
    </row>
    <row r="24" spans="1:8" ht="15.75" thickBot="1" x14ac:dyDescent="0.3">
      <c r="A24" s="178"/>
      <c r="B24" s="133"/>
      <c r="C24" s="133"/>
      <c r="D24" s="133"/>
      <c r="E24" s="133"/>
      <c r="F24" s="133"/>
      <c r="G24" s="179"/>
      <c r="H24" s="51">
        <f>SUM(G12:G23)</f>
        <v>6</v>
      </c>
    </row>
    <row r="25" spans="1:8" x14ac:dyDescent="0.25">
      <c r="A25" s="176" t="s">
        <v>116</v>
      </c>
      <c r="B25" s="122"/>
      <c r="C25" s="122"/>
      <c r="D25" s="122"/>
      <c r="E25" s="122"/>
      <c r="F25" s="122"/>
      <c r="G25" s="177"/>
      <c r="H25" s="51"/>
    </row>
    <row r="26" spans="1:8" x14ac:dyDescent="0.25">
      <c r="A26" s="110"/>
      <c r="B26" s="109"/>
      <c r="C26" s="109"/>
      <c r="D26" s="109"/>
      <c r="E26" s="109"/>
      <c r="F26" s="109"/>
      <c r="G26" s="111"/>
      <c r="H26" s="51"/>
    </row>
    <row r="27" spans="1:8" ht="27.75" customHeight="1" x14ac:dyDescent="0.25">
      <c r="A27" s="110"/>
      <c r="B27" s="109"/>
      <c r="C27" s="109"/>
      <c r="D27" s="109"/>
      <c r="E27" s="109"/>
      <c r="F27" s="109"/>
      <c r="G27" s="193">
        <v>1</v>
      </c>
      <c r="H27" s="51"/>
    </row>
    <row r="28" spans="1:8" x14ac:dyDescent="0.25">
      <c r="A28" s="110"/>
      <c r="B28" s="109"/>
      <c r="C28" s="109"/>
      <c r="D28" s="109"/>
      <c r="E28" s="109"/>
      <c r="F28" s="109"/>
      <c r="G28" s="194"/>
      <c r="H28" s="51"/>
    </row>
    <row r="29" spans="1:8" ht="31.5" customHeight="1" x14ac:dyDescent="0.25">
      <c r="A29" s="110"/>
      <c r="B29" s="39"/>
      <c r="C29" s="109"/>
      <c r="D29" s="109"/>
      <c r="E29" s="109"/>
      <c r="F29" s="109"/>
      <c r="G29" s="193">
        <v>1</v>
      </c>
      <c r="H29" s="51"/>
    </row>
    <row r="30" spans="1:8" x14ac:dyDescent="0.25">
      <c r="A30" s="110"/>
      <c r="B30" s="109"/>
      <c r="C30" s="109"/>
      <c r="D30" s="109"/>
      <c r="E30" s="109"/>
      <c r="F30" s="109"/>
      <c r="G30" s="194"/>
      <c r="H30" s="51"/>
    </row>
    <row r="31" spans="1:8" ht="17.25" customHeight="1" x14ac:dyDescent="0.25">
      <c r="A31" s="110"/>
      <c r="B31" s="39" t="s">
        <v>60</v>
      </c>
      <c r="C31" s="311" t="str">
        <f>CONCATENATE(ROUND(v_th,2)," * ",i_Achse," *",I_5," / ( 0,3768 *",rdyn,")")</f>
        <v>136,84 * 3,46 *0,8 / ( 0,3768 *0,32)</v>
      </c>
      <c r="D31" s="311"/>
      <c r="E31" s="311"/>
      <c r="F31" s="109"/>
      <c r="G31" s="194"/>
      <c r="H31" s="51"/>
    </row>
    <row r="32" spans="1:8" ht="18" x14ac:dyDescent="0.25">
      <c r="A32" s="110"/>
      <c r="B32" s="109"/>
      <c r="C32" s="195" t="s">
        <v>60</v>
      </c>
      <c r="D32" s="205">
        <f>v_th*i_Achse*I_5/0.3768/rdyn</f>
        <v>3141.4124483182482</v>
      </c>
      <c r="E32" s="49"/>
      <c r="F32" s="49"/>
      <c r="G32" s="193">
        <v>1</v>
      </c>
      <c r="H32" s="51"/>
    </row>
    <row r="33" spans="1:8" ht="18" x14ac:dyDescent="0.25">
      <c r="A33" s="109"/>
      <c r="B33" s="109"/>
      <c r="C33" s="124" t="s">
        <v>60</v>
      </c>
      <c r="D33" s="289">
        <f>F13*i_Achse*I_5/0.3768/rdyn</f>
        <v>3328.6889596602969</v>
      </c>
      <c r="E33" s="49"/>
      <c r="F33" s="49"/>
      <c r="G33" s="193"/>
      <c r="H33" s="51"/>
    </row>
    <row r="34" spans="1:8" ht="18" x14ac:dyDescent="0.25">
      <c r="A34" s="39" t="s">
        <v>120</v>
      </c>
      <c r="B34" s="199">
        <f>' 2 Fahrwiderst'!D52*9549/'3 Kraftstoff'!D32</f>
        <v>130.79473346123885</v>
      </c>
      <c r="C34" t="s">
        <v>121</v>
      </c>
      <c r="E34" s="49"/>
      <c r="F34" s="49"/>
      <c r="G34" s="194"/>
      <c r="H34" s="51"/>
    </row>
    <row r="35" spans="1:8" ht="18" x14ac:dyDescent="0.25">
      <c r="A35" s="202" t="s">
        <v>122</v>
      </c>
      <c r="B35" s="199">
        <f>F12*9549/'3 Kraftstoff'!D33</f>
        <v>143.43484951166036</v>
      </c>
      <c r="C35" t="s">
        <v>121</v>
      </c>
      <c r="D35" s="192"/>
      <c r="E35" s="66" t="s">
        <v>61</v>
      </c>
      <c r="F35" s="49"/>
      <c r="G35" s="131">
        <v>1</v>
      </c>
      <c r="H35" s="51"/>
    </row>
    <row r="36" spans="1:8" ht="15.75" thickBot="1" x14ac:dyDescent="0.3">
      <c r="A36" s="178"/>
      <c r="B36" s="133"/>
      <c r="C36" s="133"/>
      <c r="D36" s="133"/>
      <c r="E36" s="133"/>
      <c r="F36" s="133"/>
      <c r="G36" s="179"/>
      <c r="H36" s="51">
        <f>SUM(G26:G35)</f>
        <v>4</v>
      </c>
    </row>
    <row r="37" spans="1:8" ht="15" customHeight="1" x14ac:dyDescent="0.25">
      <c r="A37" s="176" t="s">
        <v>124</v>
      </c>
      <c r="B37" s="122"/>
      <c r="C37" s="122"/>
      <c r="D37" s="122"/>
      <c r="E37" s="122"/>
      <c r="F37" s="122"/>
      <c r="G37" s="177"/>
      <c r="H37" s="51"/>
    </row>
    <row r="38" spans="1:8" ht="18.75" thickBot="1" x14ac:dyDescent="0.3">
      <c r="A38" s="110"/>
      <c r="B38" s="109"/>
      <c r="C38" s="109"/>
      <c r="D38" s="196" t="s">
        <v>119</v>
      </c>
      <c r="E38" s="244">
        <v>263</v>
      </c>
      <c r="F38" s="109"/>
      <c r="G38" s="193">
        <v>1</v>
      </c>
    </row>
    <row r="39" spans="1:8" ht="19.5" thickTop="1" thickBot="1" x14ac:dyDescent="0.3">
      <c r="A39" s="110"/>
      <c r="D39" s="206" t="s">
        <v>119</v>
      </c>
      <c r="E39" s="207">
        <v>265</v>
      </c>
      <c r="F39" s="109"/>
      <c r="G39" s="111"/>
    </row>
    <row r="40" spans="1:8" ht="30.75" customHeight="1" thickTop="1" x14ac:dyDescent="0.25">
      <c r="A40" s="110"/>
      <c r="E40" s="109"/>
      <c r="F40" s="109"/>
      <c r="G40" s="193">
        <v>1</v>
      </c>
    </row>
    <row r="41" spans="1:8" ht="18" x14ac:dyDescent="0.35">
      <c r="A41" s="110"/>
      <c r="B41" s="29" t="s">
        <v>70</v>
      </c>
      <c r="C41" t="str">
        <f>CONCATENATE(ROUND(' 2 Fahrwiderst'!D52,2)," * ",'3 Kraftstoff'!E38," / ( ",roh_Kraftst.," * ",' 2 Fahrwiderst'!E12," )")</f>
        <v>43,03 * 263 / ( 0,8 * 130 )</v>
      </c>
      <c r="E41" s="109"/>
      <c r="F41" s="109"/>
      <c r="G41" s="111"/>
    </row>
    <row r="42" spans="1:8" ht="18" x14ac:dyDescent="0.35">
      <c r="A42" s="110"/>
      <c r="B42" s="109"/>
      <c r="C42" s="203" t="s">
        <v>70</v>
      </c>
      <c r="D42" s="283">
        <f>' 2 Fahrwiderst'!D52 *E38/(roh_Kraftst.*' 2 Fahrwiderst'!E12)/10</f>
        <v>10.881273675224307</v>
      </c>
      <c r="E42" s="109"/>
      <c r="F42" s="109"/>
      <c r="G42" s="193">
        <v>1</v>
      </c>
    </row>
    <row r="43" spans="1:8" ht="18" x14ac:dyDescent="0.35">
      <c r="A43" s="110"/>
      <c r="B43" s="109"/>
      <c r="C43" s="208" t="s">
        <v>70</v>
      </c>
      <c r="D43" s="284">
        <f>F12 *E39/(roh_Kraftst.*F14)/10</f>
        <v>12.023593466424682</v>
      </c>
      <c r="E43" s="109"/>
      <c r="F43" s="109"/>
      <c r="G43" s="111"/>
    </row>
    <row r="44" spans="1:8" ht="15.75" thickBot="1" x14ac:dyDescent="0.3">
      <c r="A44" s="178"/>
      <c r="B44" s="133"/>
      <c r="C44" s="133"/>
      <c r="D44" s="133"/>
      <c r="E44" s="133"/>
      <c r="F44" s="133"/>
      <c r="G44" s="179"/>
      <c r="H44" s="51">
        <f>SUM(G38:G43)</f>
        <v>3</v>
      </c>
    </row>
    <row r="45" spans="1:8" ht="18" customHeight="1" x14ac:dyDescent="0.25">
      <c r="A45" s="110"/>
      <c r="B45" s="109"/>
      <c r="C45" s="109"/>
      <c r="D45" s="109"/>
      <c r="E45" s="109"/>
      <c r="F45" t="s">
        <v>40</v>
      </c>
      <c r="G45" s="31">
        <f>SUM(G12:G44)</f>
        <v>13</v>
      </c>
    </row>
    <row r="46" spans="1:8" x14ac:dyDescent="0.25">
      <c r="A46" s="110"/>
      <c r="B46" s="29"/>
      <c r="D46" s="109"/>
      <c r="E46" s="109"/>
      <c r="F46" s="109"/>
      <c r="H46" s="51"/>
    </row>
    <row r="47" spans="1:8" x14ac:dyDescent="0.25">
      <c r="A47" s="110"/>
      <c r="B47" s="109"/>
      <c r="C47" s="109"/>
      <c r="D47" s="109"/>
      <c r="E47" s="109"/>
      <c r="F47" s="109"/>
      <c r="H47" s="51"/>
    </row>
    <row r="48" spans="1:8" x14ac:dyDescent="0.25">
      <c r="A48" s="52"/>
      <c r="H48" s="51"/>
    </row>
    <row r="49" spans="1:8" x14ac:dyDescent="0.25">
      <c r="A49" s="52"/>
      <c r="B49" s="29"/>
      <c r="H49" s="51"/>
    </row>
    <row r="50" spans="1:8" x14ac:dyDescent="0.25">
      <c r="A50" s="52"/>
      <c r="C50" s="29"/>
      <c r="D50" s="200"/>
      <c r="H50" s="51"/>
    </row>
    <row r="51" spans="1:8" x14ac:dyDescent="0.25">
      <c r="A51" s="52"/>
      <c r="H51" s="51"/>
    </row>
    <row r="52" spans="1:8" x14ac:dyDescent="0.25">
      <c r="A52" s="52"/>
    </row>
    <row r="53" spans="1:8" x14ac:dyDescent="0.25">
      <c r="A53" s="52"/>
    </row>
    <row r="54" spans="1:8" x14ac:dyDescent="0.25">
      <c r="A54" s="52"/>
    </row>
    <row r="55" spans="1:8" x14ac:dyDescent="0.25">
      <c r="A55" s="52"/>
    </row>
    <row r="56" spans="1:8" x14ac:dyDescent="0.25">
      <c r="A56" s="52"/>
    </row>
    <row r="57" spans="1:8" x14ac:dyDescent="0.25">
      <c r="A57" s="52"/>
    </row>
  </sheetData>
  <mergeCells count="3">
    <mergeCell ref="A1:G2"/>
    <mergeCell ref="A3:G11"/>
    <mergeCell ref="C31:E31"/>
  </mergeCells>
  <pageMargins left="0.7" right="0.7" top="0.75" bottom="0.75" header="0.3" footer="0.3"/>
  <pageSetup paperSize="9" scale="87" orientation="portrait" r:id="rId1"/>
  <headerFooter>
    <oddHeader>&amp;L&amp;"Calibri"&amp;10&amp;K000000Internal&amp;1#&amp;R&amp;"Calibri"&amp;10&amp;K000000&amp;1#_x000D_&amp;"Arial"&amp;11&amp;K000000&amp;"Arial"&amp;11&amp;K000000&amp;"Arial"&amp;11&amp;K000000&amp;"Arial"&amp;11&amp;K000000&amp;"Arial"&amp;11&amp;K000000&amp;"Arial"&amp;11&amp;K000000&amp;"Arial"&amp;11&amp;K000000&amp;"Arial"&amp;11&amp;K000000&amp;"Arial"&amp;11&amp;K000000&amp;G</oddHeader>
  </headerFooter>
  <rowBreaks count="1" manualBreakCount="1">
    <brk id="45" max="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5CAB-A6BD-441C-918F-B9E04FD5D56F}">
  <sheetPr>
    <tabColor theme="0" tint="-4.9989318521683403E-2"/>
  </sheetPr>
  <dimension ref="A1:P45"/>
  <sheetViews>
    <sheetView view="pageBreakPreview" zoomScaleNormal="115" zoomScaleSheetLayoutView="100" workbookViewId="0">
      <selection activeCell="D49" sqref="D49"/>
    </sheetView>
  </sheetViews>
  <sheetFormatPr baseColWidth="10" defaultColWidth="11.42578125" defaultRowHeight="15" x14ac:dyDescent="0.25"/>
  <cols>
    <col min="1" max="1" width="15.5703125" customWidth="1"/>
    <col min="2" max="2" width="13.7109375" customWidth="1"/>
    <col min="3" max="3" width="13.28515625" customWidth="1"/>
    <col min="4" max="4" width="13.42578125" customWidth="1"/>
    <col min="5" max="5" width="12.28515625" customWidth="1"/>
    <col min="6" max="6" width="13.28515625" customWidth="1"/>
    <col min="7" max="7" width="13.5703125" customWidth="1"/>
    <col min="8" max="8" width="11.5703125" customWidth="1"/>
  </cols>
  <sheetData>
    <row r="1" spans="1:16" ht="15" customHeight="1" x14ac:dyDescent="0.25">
      <c r="A1" s="334" t="s">
        <v>32</v>
      </c>
      <c r="B1" s="334"/>
      <c r="C1" s="334"/>
      <c r="D1" s="334"/>
      <c r="E1" s="334"/>
      <c r="F1" s="334"/>
      <c r="G1" s="334"/>
    </row>
    <row r="2" spans="1:16" ht="15.75" customHeight="1" thickBot="1" x14ac:dyDescent="0.3">
      <c r="A2" s="335"/>
      <c r="B2" s="335"/>
      <c r="C2" s="335"/>
      <c r="D2" s="335"/>
      <c r="E2" s="335"/>
      <c r="F2" s="335"/>
      <c r="G2" s="335"/>
    </row>
    <row r="3" spans="1:16" ht="15" customHeight="1" x14ac:dyDescent="0.25">
      <c r="A3" s="336" t="s">
        <v>223</v>
      </c>
      <c r="B3" s="337"/>
      <c r="C3" s="337"/>
      <c r="D3" s="337"/>
      <c r="E3" s="337"/>
      <c r="F3" s="337"/>
      <c r="G3" s="338"/>
    </row>
    <row r="4" spans="1:16" x14ac:dyDescent="0.25">
      <c r="A4" s="329"/>
      <c r="B4" s="311"/>
      <c r="C4" s="311"/>
      <c r="D4" s="311"/>
      <c r="E4" s="311"/>
      <c r="F4" s="311"/>
      <c r="G4" s="330"/>
    </row>
    <row r="5" spans="1:16" x14ac:dyDescent="0.25">
      <c r="A5" s="329"/>
      <c r="B5" s="311"/>
      <c r="C5" s="311"/>
      <c r="D5" s="311"/>
      <c r="E5" s="311"/>
      <c r="F5" s="311"/>
      <c r="G5" s="330"/>
      <c r="M5" s="61"/>
      <c r="N5" s="61"/>
      <c r="O5" s="61"/>
      <c r="P5" s="55"/>
    </row>
    <row r="6" spans="1:16" x14ac:dyDescent="0.25">
      <c r="A6" s="329"/>
      <c r="B6" s="311"/>
      <c r="C6" s="311"/>
      <c r="D6" s="311"/>
      <c r="E6" s="311"/>
      <c r="F6" s="311"/>
      <c r="G6" s="330"/>
      <c r="M6" s="61"/>
      <c r="N6" s="61"/>
      <c r="O6" s="61"/>
      <c r="P6" s="55"/>
    </row>
    <row r="7" spans="1:16" x14ac:dyDescent="0.25">
      <c r="A7" s="329"/>
      <c r="B7" s="311"/>
      <c r="C7" s="311"/>
      <c r="D7" s="311"/>
      <c r="E7" s="311"/>
      <c r="F7" s="311"/>
      <c r="G7" s="330"/>
      <c r="M7" s="61"/>
      <c r="N7" s="61"/>
      <c r="O7" s="61"/>
      <c r="P7" s="55"/>
    </row>
    <row r="8" spans="1:16" x14ac:dyDescent="0.25">
      <c r="A8" s="329"/>
      <c r="B8" s="311"/>
      <c r="C8" s="311"/>
      <c r="D8" s="311"/>
      <c r="E8" s="311"/>
      <c r="F8" s="311"/>
      <c r="G8" s="330"/>
      <c r="M8" s="61"/>
      <c r="N8" s="61"/>
      <c r="O8" s="61"/>
      <c r="P8" s="55"/>
    </row>
    <row r="9" spans="1:16" x14ac:dyDescent="0.25">
      <c r="A9" s="329"/>
      <c r="B9" s="311"/>
      <c r="C9" s="311"/>
      <c r="D9" s="311"/>
      <c r="E9" s="311"/>
      <c r="F9" s="311"/>
      <c r="G9" s="330"/>
      <c r="M9" s="61"/>
      <c r="N9" s="61"/>
      <c r="O9" s="61"/>
      <c r="P9" s="55"/>
    </row>
    <row r="10" spans="1:16" x14ac:dyDescent="0.25">
      <c r="A10" s="329"/>
      <c r="B10" s="311"/>
      <c r="C10" s="311"/>
      <c r="D10" s="311"/>
      <c r="E10" s="311"/>
      <c r="F10" s="311"/>
      <c r="G10" s="330"/>
      <c r="M10" s="61"/>
      <c r="N10" s="61"/>
      <c r="O10" s="61"/>
      <c r="P10" s="55"/>
    </row>
    <row r="11" spans="1:16" ht="15.75" thickBot="1" x14ac:dyDescent="0.3">
      <c r="A11" s="331"/>
      <c r="B11" s="332"/>
      <c r="C11" s="332"/>
      <c r="D11" s="332"/>
      <c r="E11" s="332"/>
      <c r="F11" s="332"/>
      <c r="G11" s="333"/>
    </row>
    <row r="12" spans="1:16" x14ac:dyDescent="0.25">
      <c r="A12" s="176" t="s">
        <v>12</v>
      </c>
      <c r="B12" s="122"/>
      <c r="C12" s="122"/>
      <c r="D12" s="122"/>
      <c r="E12" s="80" t="s">
        <v>43</v>
      </c>
      <c r="F12" s="68">
        <v>100</v>
      </c>
      <c r="G12" s="32"/>
      <c r="H12" s="51"/>
    </row>
    <row r="13" spans="1:16" ht="20.25" customHeight="1" x14ac:dyDescent="0.25">
      <c r="A13" s="297" t="s">
        <v>214</v>
      </c>
      <c r="B13" s="298">
        <f>Nebenrechnung_5!D52</f>
        <v>13.45472156553717</v>
      </c>
      <c r="D13" s="109"/>
      <c r="E13" s="64" t="s">
        <v>217</v>
      </c>
      <c r="F13" s="299">
        <v>170</v>
      </c>
      <c r="G13" s="193">
        <v>2</v>
      </c>
    </row>
    <row r="14" spans="1:16" x14ac:dyDescent="0.25">
      <c r="A14" s="202" t="s">
        <v>215</v>
      </c>
      <c r="B14" s="199">
        <f>B13/B15*9549</f>
        <v>30.214648420086874</v>
      </c>
      <c r="G14" s="111"/>
      <c r="H14" s="51"/>
    </row>
    <row r="15" spans="1:16" x14ac:dyDescent="0.25">
      <c r="A15" s="297" t="s">
        <v>216</v>
      </c>
      <c r="B15" s="300">
        <f>F12*i_Achse*I_3/0.3768/rdyn</f>
        <v>4252.2135105798807</v>
      </c>
      <c r="G15" s="193">
        <v>1</v>
      </c>
      <c r="H15" s="51"/>
    </row>
    <row r="16" spans="1:16" x14ac:dyDescent="0.25">
      <c r="A16" s="297"/>
      <c r="B16" s="300"/>
      <c r="G16" s="262"/>
      <c r="H16" s="51"/>
    </row>
    <row r="17" spans="1:8" ht="18" x14ac:dyDescent="0.25">
      <c r="A17" s="52"/>
      <c r="B17" s="29"/>
      <c r="E17" s="246" t="s">
        <v>162</v>
      </c>
      <c r="F17" s="271">
        <f>F13*B15/9549</f>
        <v>75.701779955867607</v>
      </c>
      <c r="G17" s="193">
        <v>1</v>
      </c>
      <c r="H17" s="51"/>
    </row>
    <row r="18" spans="1:8" ht="15.75" thickBot="1" x14ac:dyDescent="0.3">
      <c r="A18" s="37"/>
      <c r="B18" s="137"/>
      <c r="C18" s="38"/>
      <c r="D18" s="38"/>
      <c r="E18" s="38"/>
      <c r="F18" s="38"/>
      <c r="G18" s="34"/>
      <c r="H18" s="51"/>
    </row>
    <row r="19" spans="1:8" x14ac:dyDescent="0.25">
      <c r="A19" s="35"/>
      <c r="B19" s="36"/>
      <c r="C19" s="36"/>
      <c r="D19" s="36"/>
      <c r="E19" s="36"/>
      <c r="F19" s="240"/>
      <c r="G19" s="32"/>
      <c r="H19" s="51"/>
    </row>
    <row r="20" spans="1:8" x14ac:dyDescent="0.25">
      <c r="A20" s="52"/>
      <c r="G20" s="193">
        <v>1</v>
      </c>
    </row>
    <row r="21" spans="1:8" x14ac:dyDescent="0.25">
      <c r="A21" s="52"/>
      <c r="G21" s="33"/>
    </row>
    <row r="22" spans="1:8" ht="18" x14ac:dyDescent="0.35">
      <c r="A22" s="52"/>
      <c r="B22" s="29" t="s">
        <v>166</v>
      </c>
      <c r="C22" t="str">
        <f>CONCATENATE(" 4 * ",J_Rad," + ",i_Achse," ^2 * ",J_Triebstrang," + ",i_Achse,"^2 * ",ROUND(I_5,2),"^2 * (",J_Kuppl," + ",J_Getr," + ",J_Motor," )")</f>
        <v xml:space="preserve"> 4 * 2,5 + 3,46 ^2 * 0,1 + 3,46^2 * 0,8^2 * (0,1 + 0,15 + 0,3 )</v>
      </c>
      <c r="G22" s="193">
        <v>1</v>
      </c>
    </row>
    <row r="23" spans="1:8" ht="18" x14ac:dyDescent="0.35">
      <c r="A23" s="52"/>
      <c r="C23" s="245" t="s">
        <v>166</v>
      </c>
      <c r="D23" s="259">
        <f xml:space="preserve"> 4 *J_Rad + i_Achse ^2 *J_Triebstrang + i_Achse^2 * I_3^2 *( J_Kuppl + J_Getr+J_Motor)</f>
        <v>25.655371066110394</v>
      </c>
      <c r="G23" s="193">
        <v>1</v>
      </c>
    </row>
    <row r="24" spans="1:8" x14ac:dyDescent="0.25">
      <c r="A24" s="52"/>
      <c r="G24" s="33"/>
    </row>
    <row r="25" spans="1:8" x14ac:dyDescent="0.25">
      <c r="A25" s="52"/>
      <c r="G25" s="33"/>
    </row>
    <row r="26" spans="1:8" x14ac:dyDescent="0.25">
      <c r="A26" s="52"/>
      <c r="G26" s="193">
        <v>1</v>
      </c>
    </row>
    <row r="27" spans="1:8" x14ac:dyDescent="0.25">
      <c r="A27" s="52"/>
      <c r="G27" s="33"/>
    </row>
    <row r="28" spans="1:8" x14ac:dyDescent="0.25">
      <c r="A28" s="52"/>
      <c r="B28" s="160" t="s">
        <v>167</v>
      </c>
      <c r="C28" s="260">
        <f>J_red/m_F_normal/rdyn^2</f>
        <v>0.1927236408211418</v>
      </c>
      <c r="G28" s="193">
        <v>1</v>
      </c>
    </row>
    <row r="29" spans="1:8" x14ac:dyDescent="0.25">
      <c r="A29" s="52"/>
      <c r="G29" s="33"/>
    </row>
    <row r="30" spans="1:8" x14ac:dyDescent="0.25">
      <c r="A30" s="52"/>
      <c r="G30" s="193">
        <v>1</v>
      </c>
    </row>
    <row r="31" spans="1:8" ht="18" x14ac:dyDescent="0.35">
      <c r="A31" s="52"/>
      <c r="B31" s="245" t="s">
        <v>219</v>
      </c>
      <c r="C31" s="260">
        <f>1+C28</f>
        <v>1.1927236408211419</v>
      </c>
      <c r="G31" s="193">
        <v>1</v>
      </c>
    </row>
    <row r="32" spans="1:8" ht="15.75" thickBot="1" x14ac:dyDescent="0.3">
      <c r="A32" s="37"/>
      <c r="B32" s="38"/>
      <c r="C32" s="38"/>
      <c r="D32" s="38"/>
      <c r="E32" s="38"/>
      <c r="F32" s="38"/>
      <c r="G32" s="34"/>
    </row>
    <row r="33" spans="1:7" x14ac:dyDescent="0.25">
      <c r="A33" s="52"/>
      <c r="F33" s="295"/>
      <c r="G33" s="193">
        <v>1</v>
      </c>
    </row>
    <row r="34" spans="1:7" x14ac:dyDescent="0.25">
      <c r="A34" s="52"/>
      <c r="D34" s="29"/>
      <c r="E34" s="62"/>
      <c r="G34" s="33"/>
    </row>
    <row r="35" spans="1:7" ht="18" x14ac:dyDescent="0.25">
      <c r="A35" s="52"/>
      <c r="D35" s="246" t="s">
        <v>180</v>
      </c>
      <c r="E35" s="271">
        <f>P_ü*eta_Tr</f>
        <v>71.159673158515545</v>
      </c>
      <c r="G35" s="193">
        <v>1</v>
      </c>
    </row>
    <row r="36" spans="1:7" x14ac:dyDescent="0.25">
      <c r="A36" s="52"/>
      <c r="G36" s="33"/>
    </row>
    <row r="37" spans="1:7" x14ac:dyDescent="0.25">
      <c r="A37" s="52"/>
      <c r="G37" s="193">
        <v>1</v>
      </c>
    </row>
    <row r="38" spans="1:7" x14ac:dyDescent="0.25">
      <c r="A38" s="52"/>
      <c r="G38" s="262"/>
    </row>
    <row r="39" spans="1:7" x14ac:dyDescent="0.25">
      <c r="A39" s="52"/>
      <c r="G39" s="193">
        <v>1</v>
      </c>
    </row>
    <row r="40" spans="1:7" x14ac:dyDescent="0.25">
      <c r="A40" s="52"/>
      <c r="G40" s="33"/>
    </row>
    <row r="41" spans="1:7" x14ac:dyDescent="0.25">
      <c r="A41" s="52"/>
      <c r="B41" s="29" t="s">
        <v>48</v>
      </c>
      <c r="C41" t="str">
        <f>CONCATENATE(ROUND(P_B,2),"*1000 / ( ",ROUND(F12,2),"/3,6 * ",ROUND(e_5,2)," * ",m_F_normal," )")</f>
        <v>71,16*1000 / ( 100/3,6 * 1,19 * 1300 )</v>
      </c>
      <c r="G41" s="33"/>
    </row>
    <row r="42" spans="1:7" x14ac:dyDescent="0.25">
      <c r="A42" s="52"/>
      <c r="C42" s="245" t="s">
        <v>48</v>
      </c>
      <c r="D42" s="263">
        <f>(P_B )*1000/ ( F12/3.6 *e_3 *m_F_normal)</f>
        <v>1.6521644217875988</v>
      </c>
      <c r="G42" s="193">
        <v>1</v>
      </c>
    </row>
    <row r="43" spans="1:7" x14ac:dyDescent="0.25">
      <c r="A43" s="52"/>
      <c r="C43" s="29"/>
      <c r="D43" s="296"/>
      <c r="G43" s="262"/>
    </row>
    <row r="44" spans="1:7" ht="15.75" thickBot="1" x14ac:dyDescent="0.3">
      <c r="A44" s="37"/>
      <c r="B44" s="38"/>
      <c r="C44" s="38"/>
      <c r="D44" s="38"/>
      <c r="E44" s="38"/>
      <c r="F44" s="38"/>
      <c r="G44" s="34"/>
    </row>
    <row r="45" spans="1:7" x14ac:dyDescent="0.25">
      <c r="F45" t="s">
        <v>40</v>
      </c>
      <c r="G45" s="31">
        <f>SUM(G12:G42)</f>
        <v>16</v>
      </c>
    </row>
  </sheetData>
  <mergeCells count="2">
    <mergeCell ref="A1:G2"/>
    <mergeCell ref="A3:G11"/>
  </mergeCells>
  <pageMargins left="0.7" right="0.7" top="0.75" bottom="0.75" header="0.3" footer="0.3"/>
  <pageSetup paperSize="9" scale="87" orientation="portrait" r:id="rId1"/>
  <headerFooter>
    <oddHeader>&amp;L&amp;"Calibri"&amp;10&amp;K000000Internal&amp;1#&amp;R&amp;"Calibri"&amp;10&amp;K000000&amp;1#_x000D_&amp;"Arial"&amp;11&amp;K000000&amp;"Arial"&amp;11&amp;K000000&amp;"Arial"&amp;11&amp;K000000&amp;"Arial"&amp;11&amp;K000000&amp;"Arial"&amp;11&amp;K000000&amp;"Arial"&amp;11&amp;K000000&amp;"Arial"&amp;11&amp;K000000&amp;"Arial"&amp;11&amp;K000000&amp;"Arial"&amp;11&amp;K000000&amp;G</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4.9989318521683403E-2"/>
  </sheetPr>
  <dimension ref="A1:H53"/>
  <sheetViews>
    <sheetView view="pageBreakPreview" zoomScaleNormal="130" zoomScaleSheetLayoutView="100" workbookViewId="0">
      <selection sqref="A1:G2"/>
    </sheetView>
  </sheetViews>
  <sheetFormatPr baseColWidth="10" defaultColWidth="11.42578125" defaultRowHeight="15" x14ac:dyDescent="0.25"/>
  <cols>
    <col min="1" max="1" width="12.28515625" customWidth="1"/>
    <col min="2" max="2" width="19.42578125" customWidth="1"/>
    <col min="3" max="4" width="12.28515625" customWidth="1"/>
    <col min="5" max="5" width="14.42578125" customWidth="1"/>
    <col min="6" max="6" width="17.7109375" customWidth="1"/>
    <col min="7" max="7" width="12.28515625" customWidth="1"/>
    <col min="8" max="8" width="21.42578125" customWidth="1"/>
    <col min="10" max="10" width="11.42578125" customWidth="1"/>
    <col min="13" max="13" width="13.28515625" bestFit="1" customWidth="1"/>
  </cols>
  <sheetData>
    <row r="1" spans="1:7" ht="15" customHeight="1" x14ac:dyDescent="0.25">
      <c r="A1" s="334" t="s">
        <v>161</v>
      </c>
      <c r="B1" s="334"/>
      <c r="C1" s="334"/>
      <c r="D1" s="334"/>
      <c r="E1" s="334"/>
      <c r="F1" s="334"/>
      <c r="G1" s="334"/>
    </row>
    <row r="2" spans="1:7" ht="15.75" customHeight="1" thickBot="1" x14ac:dyDescent="0.3">
      <c r="A2" s="335"/>
      <c r="B2" s="335"/>
      <c r="C2" s="335"/>
      <c r="D2" s="335"/>
      <c r="E2" s="335"/>
      <c r="F2" s="335"/>
      <c r="G2" s="335"/>
    </row>
    <row r="3" spans="1:7" ht="15" customHeight="1" x14ac:dyDescent="0.25">
      <c r="A3" s="336" t="s">
        <v>224</v>
      </c>
      <c r="B3" s="337"/>
      <c r="C3" s="337"/>
      <c r="D3" s="337"/>
      <c r="E3" s="337"/>
      <c r="F3" s="337"/>
      <c r="G3" s="338"/>
    </row>
    <row r="4" spans="1:7" x14ac:dyDescent="0.25">
      <c r="A4" s="329"/>
      <c r="B4" s="311"/>
      <c r="C4" s="311"/>
      <c r="D4" s="311"/>
      <c r="E4" s="311"/>
      <c r="F4" s="311"/>
      <c r="G4" s="330"/>
    </row>
    <row r="5" spans="1:7" x14ac:dyDescent="0.25">
      <c r="A5" s="329"/>
      <c r="B5" s="311"/>
      <c r="C5" s="311"/>
      <c r="D5" s="311"/>
      <c r="E5" s="311"/>
      <c r="F5" s="311"/>
      <c r="G5" s="330"/>
    </row>
    <row r="6" spans="1:7" x14ac:dyDescent="0.25">
      <c r="A6" s="329"/>
      <c r="B6" s="311"/>
      <c r="C6" s="311"/>
      <c r="D6" s="311"/>
      <c r="E6" s="311"/>
      <c r="F6" s="311"/>
      <c r="G6" s="330"/>
    </row>
    <row r="7" spans="1:7" x14ac:dyDescent="0.25">
      <c r="A7" s="329"/>
      <c r="B7" s="311"/>
      <c r="C7" s="311"/>
      <c r="D7" s="311"/>
      <c r="E7" s="311"/>
      <c r="F7" s="311"/>
      <c r="G7" s="330"/>
    </row>
    <row r="8" spans="1:7" x14ac:dyDescent="0.25">
      <c r="A8" s="329"/>
      <c r="B8" s="311"/>
      <c r="C8" s="311"/>
      <c r="D8" s="311"/>
      <c r="E8" s="311"/>
      <c r="F8" s="311"/>
      <c r="G8" s="330"/>
    </row>
    <row r="9" spans="1:7" x14ac:dyDescent="0.25">
      <c r="A9" s="329"/>
      <c r="B9" s="311"/>
      <c r="C9" s="311"/>
      <c r="D9" s="311"/>
      <c r="E9" s="311"/>
      <c r="F9" s="311"/>
      <c r="G9" s="330"/>
    </row>
    <row r="10" spans="1:7" x14ac:dyDescent="0.25">
      <c r="A10" s="329"/>
      <c r="B10" s="311"/>
      <c r="C10" s="311"/>
      <c r="D10" s="311"/>
      <c r="E10" s="311"/>
      <c r="F10" s="311"/>
      <c r="G10" s="330"/>
    </row>
    <row r="11" spans="1:7" x14ac:dyDescent="0.25">
      <c r="A11" s="329"/>
      <c r="B11" s="311"/>
      <c r="C11" s="311"/>
      <c r="D11" s="311"/>
      <c r="E11" s="311"/>
      <c r="F11" s="311"/>
      <c r="G11" s="330"/>
    </row>
    <row r="12" spans="1:7" x14ac:dyDescent="0.25">
      <c r="A12" s="329"/>
      <c r="B12" s="311"/>
      <c r="C12" s="311"/>
      <c r="D12" s="311"/>
      <c r="E12" s="311"/>
      <c r="F12" s="311"/>
      <c r="G12" s="330"/>
    </row>
    <row r="13" spans="1:7" ht="15.75" thickBot="1" x14ac:dyDescent="0.3">
      <c r="A13" s="331"/>
      <c r="B13" s="332"/>
      <c r="C13" s="332"/>
      <c r="D13" s="332"/>
      <c r="E13" s="332"/>
      <c r="F13" s="332"/>
      <c r="G13" s="333"/>
    </row>
    <row r="14" spans="1:7" x14ac:dyDescent="0.25">
      <c r="A14" s="176" t="s">
        <v>176</v>
      </c>
      <c r="B14" s="122"/>
      <c r="C14" s="122"/>
      <c r="D14" s="122"/>
      <c r="E14" s="80"/>
      <c r="F14" s="122"/>
      <c r="G14" s="177"/>
    </row>
    <row r="15" spans="1:7" x14ac:dyDescent="0.25">
      <c r="A15" s="231" t="s">
        <v>158</v>
      </c>
      <c r="B15" s="39"/>
      <c r="C15" s="112"/>
      <c r="D15" s="109"/>
      <c r="E15" s="109" t="s">
        <v>45</v>
      </c>
      <c r="F15" s="109"/>
      <c r="G15" s="111"/>
    </row>
    <row r="16" spans="1:7" x14ac:dyDescent="0.25">
      <c r="A16" s="110"/>
      <c r="B16" s="39"/>
      <c r="C16" s="112"/>
      <c r="D16" s="109"/>
      <c r="E16" s="109"/>
      <c r="F16" s="109"/>
      <c r="G16" s="111"/>
    </row>
    <row r="17" spans="1:8" ht="21" customHeight="1" x14ac:dyDescent="0.25">
      <c r="A17" s="110"/>
      <c r="B17" s="39"/>
      <c r="C17" s="112"/>
      <c r="D17" s="109"/>
      <c r="E17" s="109"/>
      <c r="F17" s="109"/>
      <c r="G17" s="41">
        <v>1</v>
      </c>
    </row>
    <row r="18" spans="1:8" ht="21" customHeight="1" x14ac:dyDescent="0.25">
      <c r="A18" s="110"/>
      <c r="B18" s="39"/>
      <c r="C18" s="112"/>
      <c r="D18" s="109"/>
      <c r="E18" s="109"/>
      <c r="F18" s="109"/>
      <c r="G18" s="111"/>
    </row>
    <row r="19" spans="1:8" ht="35.25" customHeight="1" x14ac:dyDescent="0.25">
      <c r="A19" s="110"/>
      <c r="B19" s="39"/>
      <c r="C19" s="112"/>
      <c r="D19" s="109"/>
      <c r="E19" s="109"/>
      <c r="F19" s="109"/>
      <c r="G19" s="41">
        <v>1</v>
      </c>
    </row>
    <row r="20" spans="1:8" x14ac:dyDescent="0.25">
      <c r="A20" s="110"/>
      <c r="B20" s="39" t="s">
        <v>154</v>
      </c>
      <c r="C20" s="112" t="str">
        <f>CONCATENATE("( ",V_F," / 3,6 )^2 / ( ",g_Erdbeschl.," * ",Mue," )")</f>
        <v>( 130 / 3,6 )^2 / ( 9,81 * 1,06 )</v>
      </c>
      <c r="D20" s="109"/>
      <c r="E20" s="109"/>
      <c r="F20" s="109"/>
      <c r="G20" s="111"/>
    </row>
    <row r="21" spans="1:8" ht="21.75" customHeight="1" x14ac:dyDescent="0.25">
      <c r="A21" s="110"/>
      <c r="B21" s="39"/>
      <c r="E21" s="238" t="s">
        <v>159</v>
      </c>
      <c r="F21" s="239">
        <f>(V_F/3.6)^2/(g_Erdbeschl.*Mue)</f>
        <v>125.40268359962032</v>
      </c>
      <c r="G21" s="41">
        <v>1</v>
      </c>
    </row>
    <row r="22" spans="1:8" x14ac:dyDescent="0.25">
      <c r="A22" s="110"/>
      <c r="B22" s="39"/>
      <c r="C22" s="112"/>
      <c r="D22" s="109"/>
      <c r="E22" s="109"/>
      <c r="F22" s="109"/>
      <c r="G22" s="111"/>
      <c r="H22" s="51">
        <f>SUM(G15:G21)</f>
        <v>3</v>
      </c>
    </row>
    <row r="23" spans="1:8" x14ac:dyDescent="0.25">
      <c r="A23" s="110"/>
      <c r="B23" s="39"/>
      <c r="C23" s="112"/>
      <c r="D23" s="109"/>
      <c r="E23" s="247" t="s">
        <v>177</v>
      </c>
      <c r="F23" s="248">
        <v>150</v>
      </c>
      <c r="G23" s="111"/>
    </row>
    <row r="24" spans="1:8" ht="15.75" thickBot="1" x14ac:dyDescent="0.3">
      <c r="A24" s="178"/>
      <c r="B24" s="133"/>
      <c r="C24" s="133"/>
      <c r="D24" s="133"/>
      <c r="E24" s="133"/>
      <c r="F24" s="133"/>
      <c r="G24" s="179"/>
    </row>
    <row r="25" spans="1:8" x14ac:dyDescent="0.25">
      <c r="A25" s="52" t="s">
        <v>14</v>
      </c>
      <c r="D25" s="29"/>
      <c r="E25" s="101"/>
      <c r="G25" s="33"/>
    </row>
    <row r="26" spans="1:8" x14ac:dyDescent="0.25">
      <c r="A26" s="52"/>
      <c r="D26" s="29"/>
      <c r="E26" s="101"/>
      <c r="G26" s="41">
        <v>1</v>
      </c>
      <c r="H26">
        <f>1300/3.6*(2/50000-1.6/60000)</f>
        <v>4.814814814814816E-3</v>
      </c>
    </row>
    <row r="27" spans="1:8" x14ac:dyDescent="0.25">
      <c r="D27" s="29"/>
      <c r="E27" s="101"/>
      <c r="G27" s="33"/>
    </row>
    <row r="28" spans="1:8" x14ac:dyDescent="0.25">
      <c r="A28" s="29" t="s">
        <v>109</v>
      </c>
      <c r="B28" t="str">
        <f>CONCATENATE(m_F_normal," / ",l_0," * ( ",lh," / ",C_av," - ", l_0-lh," / ",C_ah," )")</f>
        <v>1300 / 2,8 * ( 1,6 / 50000 - 1,2 / 60000 )</v>
      </c>
      <c r="C28" s="29"/>
      <c r="E28" s="101"/>
      <c r="G28" s="33"/>
    </row>
    <row r="29" spans="1:8" x14ac:dyDescent="0.25">
      <c r="A29" s="236" t="s">
        <v>109</v>
      </c>
      <c r="B29" s="237">
        <f>m_F_normal/l_0*(lh/C_av-(l_0-lh)/C_ah)</f>
        <v>5.5714285714285735E-3</v>
      </c>
      <c r="D29" s="29"/>
      <c r="E29" s="101"/>
      <c r="G29" s="41">
        <v>1</v>
      </c>
    </row>
    <row r="30" spans="1:8" x14ac:dyDescent="0.25">
      <c r="A30" s="52"/>
      <c r="D30" s="29"/>
      <c r="E30" s="101"/>
      <c r="G30" s="33"/>
    </row>
    <row r="31" spans="1:8" x14ac:dyDescent="0.25">
      <c r="A31" s="52"/>
      <c r="D31" s="29"/>
      <c r="E31" s="101"/>
      <c r="G31" s="33"/>
    </row>
    <row r="32" spans="1:8" x14ac:dyDescent="0.25">
      <c r="A32" s="52"/>
      <c r="G32" s="41">
        <v>1</v>
      </c>
    </row>
    <row r="33" spans="1:8" x14ac:dyDescent="0.25">
      <c r="A33" s="52"/>
    </row>
    <row r="34" spans="1:8" ht="18" x14ac:dyDescent="0.35">
      <c r="A34" s="52"/>
      <c r="E34" s="245" t="s">
        <v>63</v>
      </c>
      <c r="F34" s="285">
        <f>(V_F/3.6)^2/Radius</f>
        <v>10.398600000000002</v>
      </c>
      <c r="G34" s="41">
        <v>1</v>
      </c>
    </row>
    <row r="35" spans="1:8" ht="18" x14ac:dyDescent="0.35">
      <c r="A35" s="52"/>
      <c r="E35" s="128" t="s">
        <v>63</v>
      </c>
      <c r="F35" s="261">
        <f>(V_F/3.6)^2/F23</f>
        <v>8.6934156378600793</v>
      </c>
      <c r="G35" s="44"/>
    </row>
    <row r="36" spans="1:8" x14ac:dyDescent="0.25">
      <c r="A36" s="52"/>
      <c r="G36" s="44"/>
    </row>
    <row r="37" spans="1:8" x14ac:dyDescent="0.25">
      <c r="A37" s="52"/>
      <c r="D37" s="29"/>
      <c r="G37" s="41">
        <v>1</v>
      </c>
    </row>
    <row r="38" spans="1:8" x14ac:dyDescent="0.25">
      <c r="A38" s="52"/>
      <c r="B38" s="29"/>
      <c r="C38" s="164"/>
      <c r="D38" s="62"/>
    </row>
    <row r="39" spans="1:8" x14ac:dyDescent="0.25">
      <c r="A39" s="52"/>
      <c r="B39" s="165">
        <f>l_0/Radius</f>
        <v>2.2328070816568055E-2</v>
      </c>
      <c r="C39" s="166" t="s">
        <v>55</v>
      </c>
      <c r="D39" s="167">
        <f>B29*ay</f>
        <v>5.7935057142857176E-2</v>
      </c>
      <c r="E39" s="160" t="s">
        <v>71</v>
      </c>
      <c r="F39" s="234">
        <f>B39+D39</f>
        <v>8.0263127959425223E-2</v>
      </c>
      <c r="G39" s="41">
        <v>1</v>
      </c>
    </row>
    <row r="40" spans="1:8" x14ac:dyDescent="0.25">
      <c r="A40" s="52"/>
      <c r="B40" s="169">
        <f>B39*180/PI()</f>
        <v>1.2793042224585711</v>
      </c>
      <c r="C40" s="166" t="s">
        <v>55</v>
      </c>
      <c r="D40" s="169">
        <f>D39*180/PI()</f>
        <v>3.3194342601349698</v>
      </c>
      <c r="E40" s="160" t="s">
        <v>71</v>
      </c>
      <c r="F40" s="235">
        <f>F39*180/PI()</f>
        <v>4.5987384825935402</v>
      </c>
      <c r="G40" s="41">
        <v>1</v>
      </c>
    </row>
    <row r="41" spans="1:8" x14ac:dyDescent="0.25">
      <c r="A41" s="52"/>
      <c r="B41" s="165">
        <f>l_0/F23</f>
        <v>1.8666666666666665E-2</v>
      </c>
      <c r="C41" s="166" t="s">
        <v>55</v>
      </c>
      <c r="D41" s="167">
        <f>B29*F35</f>
        <v>4.8434744268077604E-2</v>
      </c>
      <c r="E41" s="168" t="s">
        <v>71</v>
      </c>
      <c r="F41" s="249">
        <f>B41+D41</f>
        <v>6.7101410934744268E-2</v>
      </c>
      <c r="G41" s="44"/>
    </row>
    <row r="42" spans="1:8" x14ac:dyDescent="0.25">
      <c r="A42" s="52"/>
      <c r="B42" s="169">
        <f>B41*180/PI()</f>
        <v>1.0695212175775366</v>
      </c>
      <c r="C42" s="166" t="s">
        <v>55</v>
      </c>
      <c r="D42" s="169">
        <f>D41*180/PI()</f>
        <v>2.7751064283563021</v>
      </c>
      <c r="E42" s="168" t="s">
        <v>71</v>
      </c>
      <c r="F42" s="250">
        <f>F41*180/PI()</f>
        <v>3.8446276459338389</v>
      </c>
      <c r="G42" s="251"/>
      <c r="H42" s="51">
        <f>SUM(G26:G41)</f>
        <v>7</v>
      </c>
    </row>
    <row r="43" spans="1:8" ht="15.75" thickBot="1" x14ac:dyDescent="0.3">
      <c r="A43" s="37"/>
      <c r="B43" s="170"/>
      <c r="C43" s="171"/>
      <c r="D43" s="170"/>
      <c r="E43" s="172"/>
      <c r="F43" s="161"/>
      <c r="G43" s="173"/>
    </row>
    <row r="44" spans="1:8" x14ac:dyDescent="0.25">
      <c r="A44" s="35" t="s">
        <v>17</v>
      </c>
      <c r="B44" s="36"/>
      <c r="C44" s="36"/>
      <c r="D44" s="36"/>
      <c r="E44" s="36"/>
      <c r="F44" s="36"/>
      <c r="G44" s="32"/>
    </row>
    <row r="45" spans="1:8" x14ac:dyDescent="0.25">
      <c r="A45" s="52"/>
      <c r="G45" s="33"/>
    </row>
    <row r="46" spans="1:8" x14ac:dyDescent="0.25">
      <c r="A46" s="52"/>
      <c r="G46" s="33"/>
    </row>
    <row r="47" spans="1:8" ht="30.75" customHeight="1" x14ac:dyDescent="0.25">
      <c r="A47" s="52"/>
      <c r="G47" s="41">
        <v>1</v>
      </c>
    </row>
    <row r="48" spans="1:8" ht="36.75" customHeight="1" x14ac:dyDescent="0.25">
      <c r="A48" s="52"/>
      <c r="G48" s="33"/>
    </row>
    <row r="49" spans="1:8" ht="33" customHeight="1" x14ac:dyDescent="0.25">
      <c r="A49" s="52"/>
      <c r="B49" s="232" t="s">
        <v>160</v>
      </c>
      <c r="D49" s="232" t="s">
        <v>160</v>
      </c>
      <c r="G49" s="41">
        <v>1</v>
      </c>
    </row>
    <row r="50" spans="1:8" x14ac:dyDescent="0.25">
      <c r="A50" s="52"/>
      <c r="G50" s="33"/>
    </row>
    <row r="51" spans="1:8" ht="32.25" customHeight="1" x14ac:dyDescent="0.25">
      <c r="A51" s="52"/>
      <c r="C51" s="232" t="s">
        <v>160</v>
      </c>
      <c r="E51" s="175"/>
      <c r="F51" s="233">
        <f>C_ah/C_av</f>
        <v>1.2</v>
      </c>
      <c r="G51" s="41">
        <v>1</v>
      </c>
    </row>
    <row r="52" spans="1:8" ht="15.75" thickBot="1" x14ac:dyDescent="0.3">
      <c r="A52" s="37"/>
      <c r="B52" s="38"/>
      <c r="C52" s="38"/>
      <c r="D52" s="38"/>
      <c r="E52" s="38"/>
      <c r="F52" s="38"/>
      <c r="G52" s="34"/>
      <c r="H52" s="51">
        <f>SUM(G47:G52)</f>
        <v>3</v>
      </c>
    </row>
    <row r="53" spans="1:8" x14ac:dyDescent="0.25">
      <c r="F53" t="s">
        <v>40</v>
      </c>
      <c r="G53" s="241">
        <f>SUM(G15:G52)</f>
        <v>13</v>
      </c>
    </row>
  </sheetData>
  <mergeCells count="2">
    <mergeCell ref="A1:G2"/>
    <mergeCell ref="A3:G13"/>
  </mergeCells>
  <pageMargins left="0.7" right="0.7" top="0.75" bottom="0.75" header="0.3" footer="0.3"/>
  <pageSetup paperSize="9" scale="82" orientation="portrait" r:id="rId1"/>
  <headerFooter>
    <oddHeader>&amp;L&amp;"Calibri"&amp;10&amp;K000000Internal&amp;1#&amp;R&amp;"Calibri"&amp;10&amp;K000000&amp;1#_x000D_&amp;"Arial"&amp;11&amp;K000000&amp;"Arial"&amp;11&amp;K000000&amp;"Arial"&amp;11&amp;K000000&amp;"Arial"&amp;11&amp;K000000&amp;"Arial"&amp;11&amp;K000000&amp;"Arial"&amp;11&amp;K000000&amp;"Arial"&amp;11&amp;K000000&amp;"Arial"&amp;11&amp;K000000&amp;"Arial"&amp;11&amp;K000000&amp;G</oddHeader>
  </headerFooter>
  <colBreaks count="1" manualBreakCount="1">
    <brk id="7"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72BF-9F72-48F7-8715-C3863C956D60}">
  <sheetPr>
    <tabColor theme="0" tint="-4.9989318521683403E-2"/>
  </sheetPr>
  <dimension ref="A1:Q49"/>
  <sheetViews>
    <sheetView view="pageBreakPreview" zoomScaleNormal="130" zoomScaleSheetLayoutView="100" workbookViewId="0">
      <selection activeCell="F33" sqref="F33"/>
    </sheetView>
  </sheetViews>
  <sheetFormatPr baseColWidth="10" defaultColWidth="11.42578125" defaultRowHeight="15" x14ac:dyDescent="0.25"/>
  <cols>
    <col min="5" max="5" width="13.5703125" customWidth="1"/>
    <col min="6" max="6" width="12.85546875" customWidth="1"/>
    <col min="7" max="7" width="12.42578125" customWidth="1"/>
    <col min="12" max="12" width="12.140625" customWidth="1"/>
  </cols>
  <sheetData>
    <row r="1" spans="1:8" ht="15" customHeight="1" x14ac:dyDescent="0.25">
      <c r="A1" s="323" t="s">
        <v>200</v>
      </c>
      <c r="B1" s="324"/>
      <c r="C1" s="324"/>
      <c r="D1" s="324"/>
      <c r="E1" s="324"/>
      <c r="F1" s="324"/>
      <c r="G1" s="324"/>
      <c r="H1" s="325"/>
    </row>
    <row r="2" spans="1:8" ht="15" customHeight="1" x14ac:dyDescent="0.25">
      <c r="A2" s="326"/>
      <c r="B2" s="327"/>
      <c r="C2" s="327"/>
      <c r="D2" s="327"/>
      <c r="E2" s="327"/>
      <c r="F2" s="327"/>
      <c r="G2" s="327"/>
      <c r="H2" s="328"/>
    </row>
    <row r="3" spans="1:8" ht="15" customHeight="1" x14ac:dyDescent="0.25">
      <c r="A3" s="329" t="s">
        <v>225</v>
      </c>
      <c r="B3" s="311"/>
      <c r="C3" s="311"/>
      <c r="D3" s="311"/>
      <c r="E3" s="311"/>
      <c r="F3" s="311"/>
      <c r="G3" s="311"/>
      <c r="H3" s="330"/>
    </row>
    <row r="4" spans="1:8" x14ac:dyDescent="0.25">
      <c r="A4" s="329"/>
      <c r="B4" s="311"/>
      <c r="C4" s="311"/>
      <c r="D4" s="311"/>
      <c r="E4" s="311"/>
      <c r="F4" s="311"/>
      <c r="G4" s="311"/>
      <c r="H4" s="330"/>
    </row>
    <row r="5" spans="1:8" x14ac:dyDescent="0.25">
      <c r="A5" s="329"/>
      <c r="B5" s="311"/>
      <c r="C5" s="311"/>
      <c r="D5" s="311"/>
      <c r="E5" s="311"/>
      <c r="F5" s="311"/>
      <c r="G5" s="311"/>
      <c r="H5" s="330"/>
    </row>
    <row r="6" spans="1:8" x14ac:dyDescent="0.25">
      <c r="A6" s="329"/>
      <c r="B6" s="311"/>
      <c r="C6" s="311"/>
      <c r="D6" s="311"/>
      <c r="E6" s="311"/>
      <c r="F6" s="311"/>
      <c r="G6" s="311"/>
      <c r="H6" s="330"/>
    </row>
    <row r="7" spans="1:8" x14ac:dyDescent="0.25">
      <c r="A7" s="329"/>
      <c r="B7" s="311"/>
      <c r="C7" s="311"/>
      <c r="D7" s="311"/>
      <c r="E7" s="311"/>
      <c r="F7" s="311"/>
      <c r="G7" s="311"/>
      <c r="H7" s="330"/>
    </row>
    <row r="8" spans="1:8" x14ac:dyDescent="0.25">
      <c r="A8" s="329"/>
      <c r="B8" s="311"/>
      <c r="C8" s="311"/>
      <c r="D8" s="311"/>
      <c r="E8" s="311"/>
      <c r="F8" s="311"/>
      <c r="G8" s="311"/>
      <c r="H8" s="330"/>
    </row>
    <row r="9" spans="1:8" x14ac:dyDescent="0.25">
      <c r="A9" s="329"/>
      <c r="B9" s="311"/>
      <c r="C9" s="311"/>
      <c r="D9" s="311"/>
      <c r="E9" s="311"/>
      <c r="F9" s="311"/>
      <c r="G9" s="311"/>
      <c r="H9" s="330"/>
    </row>
    <row r="10" spans="1:8" ht="15.75" thickBot="1" x14ac:dyDescent="0.3">
      <c r="A10" s="329"/>
      <c r="B10" s="311"/>
      <c r="C10" s="311"/>
      <c r="D10" s="311"/>
      <c r="E10" s="311"/>
      <c r="F10" s="311"/>
      <c r="G10" s="311"/>
      <c r="H10" s="330"/>
    </row>
    <row r="11" spans="1:8" ht="18" x14ac:dyDescent="0.35">
      <c r="A11" s="156" t="s">
        <v>47</v>
      </c>
      <c r="B11" s="56" t="s">
        <v>41</v>
      </c>
      <c r="C11" s="274">
        <v>0.9</v>
      </c>
      <c r="D11" s="56" t="s">
        <v>198</v>
      </c>
      <c r="E11" s="174">
        <v>0.6</v>
      </c>
      <c r="F11" s="56" t="s">
        <v>43</v>
      </c>
      <c r="G11" s="278">
        <v>108</v>
      </c>
      <c r="H11" s="32"/>
    </row>
    <row r="12" spans="1:8" ht="18" x14ac:dyDescent="0.35">
      <c r="A12" s="52"/>
      <c r="B12" s="29" t="s">
        <v>201</v>
      </c>
      <c r="C12" s="155">
        <v>0.5</v>
      </c>
      <c r="D12" s="29" t="s">
        <v>1</v>
      </c>
      <c r="E12" s="291">
        <v>0.7</v>
      </c>
      <c r="H12" s="33"/>
    </row>
    <row r="13" spans="1:8" ht="18.75" x14ac:dyDescent="0.35">
      <c r="A13" s="52"/>
      <c r="B13" s="29" t="s">
        <v>202</v>
      </c>
      <c r="C13" s="155">
        <v>1.6</v>
      </c>
      <c r="D13" s="18" t="s">
        <v>6</v>
      </c>
      <c r="E13" s="292">
        <v>1.18</v>
      </c>
      <c r="H13" s="33"/>
    </row>
    <row r="14" spans="1:8" ht="18.75" thickBot="1" x14ac:dyDescent="0.4">
      <c r="A14" s="37"/>
      <c r="B14" s="137" t="s">
        <v>203</v>
      </c>
      <c r="C14" s="280">
        <v>0.8</v>
      </c>
      <c r="D14" s="137" t="s">
        <v>199</v>
      </c>
      <c r="E14" s="279">
        <v>270</v>
      </c>
      <c r="F14" s="38" t="s">
        <v>209</v>
      </c>
      <c r="G14" s="38"/>
      <c r="H14" s="34"/>
    </row>
    <row r="15" spans="1:8" x14ac:dyDescent="0.25">
      <c r="A15" s="35"/>
      <c r="B15" s="122"/>
      <c r="C15" s="56"/>
      <c r="D15" s="36"/>
      <c r="E15" s="36"/>
      <c r="F15" s="36"/>
      <c r="G15" s="36"/>
      <c r="H15" s="32"/>
    </row>
    <row r="16" spans="1:8" x14ac:dyDescent="0.25">
      <c r="A16" s="52"/>
      <c r="B16" s="109"/>
      <c r="C16" s="29" t="s">
        <v>45</v>
      </c>
      <c r="D16" s="57"/>
      <c r="E16" s="57"/>
      <c r="F16" s="57"/>
      <c r="H16" s="33"/>
    </row>
    <row r="17" spans="1:17" x14ac:dyDescent="0.25">
      <c r="A17" s="48"/>
      <c r="H17" s="33"/>
      <c r="Q17" s="33"/>
    </row>
    <row r="18" spans="1:17" x14ac:dyDescent="0.25">
      <c r="A18" s="48"/>
      <c r="H18" s="33"/>
      <c r="Q18" s="33"/>
    </row>
    <row r="19" spans="1:17" x14ac:dyDescent="0.25">
      <c r="A19" s="48"/>
      <c r="H19" s="33"/>
      <c r="Q19" s="33"/>
    </row>
    <row r="20" spans="1:17" x14ac:dyDescent="0.25">
      <c r="A20" s="48"/>
      <c r="H20" s="33"/>
      <c r="Q20" s="33"/>
    </row>
    <row r="21" spans="1:17" x14ac:dyDescent="0.25">
      <c r="A21" s="48"/>
      <c r="H21" s="33"/>
      <c r="Q21" s="33"/>
    </row>
    <row r="22" spans="1:17" x14ac:dyDescent="0.25">
      <c r="A22" s="48"/>
      <c r="H22" s="33"/>
      <c r="Q22" s="33"/>
    </row>
    <row r="23" spans="1:17" x14ac:dyDescent="0.25">
      <c r="A23" s="48"/>
      <c r="H23" s="33"/>
      <c r="Q23" s="33"/>
    </row>
    <row r="24" spans="1:17" x14ac:dyDescent="0.25">
      <c r="A24" s="48"/>
      <c r="H24" s="33"/>
      <c r="Q24" s="33"/>
    </row>
    <row r="25" spans="1:17" x14ac:dyDescent="0.25">
      <c r="A25" s="48"/>
      <c r="H25" s="33"/>
      <c r="Q25" s="33"/>
    </row>
    <row r="26" spans="1:17" x14ac:dyDescent="0.25">
      <c r="A26" s="48"/>
      <c r="H26" s="33"/>
      <c r="Q26" s="33"/>
    </row>
    <row r="27" spans="1:17" x14ac:dyDescent="0.25">
      <c r="A27" s="48" t="s">
        <v>12</v>
      </c>
      <c r="H27" s="33"/>
    </row>
    <row r="28" spans="1:17" x14ac:dyDescent="0.25">
      <c r="A28" s="52"/>
      <c r="G28" s="39">
        <v>3</v>
      </c>
      <c r="H28" s="33" t="s">
        <v>92</v>
      </c>
      <c r="I28" t="s">
        <v>205</v>
      </c>
      <c r="J28" s="53">
        <v>1.5</v>
      </c>
    </row>
    <row r="29" spans="1:17" x14ac:dyDescent="0.25">
      <c r="A29" s="52"/>
      <c r="G29" s="29">
        <v>1</v>
      </c>
      <c r="H29" s="33" t="s">
        <v>93</v>
      </c>
      <c r="I29" t="s">
        <v>206</v>
      </c>
      <c r="J29" s="53">
        <v>0.5</v>
      </c>
    </row>
    <row r="30" spans="1:17" x14ac:dyDescent="0.25">
      <c r="A30" s="52"/>
      <c r="G30" s="39">
        <v>4</v>
      </c>
      <c r="H30" s="33" t="s">
        <v>91</v>
      </c>
      <c r="I30" t="s">
        <v>204</v>
      </c>
      <c r="J30" s="53">
        <v>2</v>
      </c>
    </row>
    <row r="31" spans="1:17" x14ac:dyDescent="0.25">
      <c r="A31" s="52"/>
      <c r="H31" s="41">
        <v>4</v>
      </c>
    </row>
    <row r="32" spans="1:17" x14ac:dyDescent="0.25">
      <c r="A32" s="52"/>
      <c r="H32" s="33"/>
    </row>
    <row r="33" spans="1:8" x14ac:dyDescent="0.25">
      <c r="A33" s="52"/>
      <c r="H33" s="33"/>
    </row>
    <row r="34" spans="1:8" ht="15.75" thickBot="1" x14ac:dyDescent="0.3">
      <c r="A34" s="37"/>
      <c r="B34" s="38"/>
      <c r="C34" s="38"/>
      <c r="D34" s="38"/>
      <c r="E34" s="38"/>
      <c r="F34" s="38"/>
      <c r="G34" s="38"/>
      <c r="H34" s="34"/>
    </row>
    <row r="35" spans="1:8" x14ac:dyDescent="0.25">
      <c r="A35" s="52"/>
      <c r="H35" s="33"/>
    </row>
    <row r="36" spans="1:8" x14ac:dyDescent="0.25">
      <c r="A36" s="52" t="s">
        <v>17</v>
      </c>
      <c r="H36" s="41">
        <v>3</v>
      </c>
    </row>
    <row r="37" spans="1:8" x14ac:dyDescent="0.25">
      <c r="A37" s="52"/>
      <c r="H37" s="33"/>
    </row>
    <row r="38" spans="1:8" x14ac:dyDescent="0.25">
      <c r="A38" s="52"/>
      <c r="H38" s="33"/>
    </row>
    <row r="39" spans="1:8" x14ac:dyDescent="0.25">
      <c r="A39" s="52"/>
      <c r="H39" s="41">
        <v>1</v>
      </c>
    </row>
    <row r="40" spans="1:8" x14ac:dyDescent="0.25">
      <c r="A40" s="52"/>
      <c r="H40" s="33"/>
    </row>
    <row r="41" spans="1:8" ht="18" x14ac:dyDescent="0.35">
      <c r="A41" s="52"/>
      <c r="F41" s="29" t="s">
        <v>108</v>
      </c>
      <c r="G41" s="276">
        <f>(m_Motorrad)*g_Erdbeschl.</f>
        <v>2648.7000000000003</v>
      </c>
      <c r="H41" s="41">
        <v>1</v>
      </c>
    </row>
    <row r="42" spans="1:8" ht="18" x14ac:dyDescent="0.35">
      <c r="F42" s="29" t="s">
        <v>46</v>
      </c>
      <c r="G42" s="276">
        <f>0.5*roh_Luft*cw_motorrad*A_Motorrad*(G11/3.6)^2</f>
        <v>223.01999999999998</v>
      </c>
      <c r="H42" s="41">
        <v>1</v>
      </c>
    </row>
    <row r="43" spans="1:8" ht="18" x14ac:dyDescent="0.35">
      <c r="A43" s="52"/>
      <c r="B43" s="29" t="s">
        <v>103</v>
      </c>
      <c r="C43" t="str">
        <f>CONCATENATE("(",ROUND(FG_Motorrad,1)," * ",l_h_Motorrad,"+",ROUND(F_lW_Motorrad,1),"*",h_LW_Motorrad,") / ", h_s_Motorrad)</f>
        <v>(2648,7 * 0,8+223*0,9) / 0,5</v>
      </c>
      <c r="F43" s="29" t="s">
        <v>103</v>
      </c>
      <c r="G43" s="277">
        <f>(FG_Motorrad*l_h_Motorrad-G42*h_LW_Motorrad)/h_s_Motorrad</f>
        <v>3836.4840000000008</v>
      </c>
      <c r="H43" s="41">
        <v>1</v>
      </c>
    </row>
    <row r="44" spans="1:8" x14ac:dyDescent="0.25">
      <c r="A44" s="52"/>
      <c r="H44" s="33"/>
    </row>
    <row r="45" spans="1:8" x14ac:dyDescent="0.25">
      <c r="A45" s="52"/>
      <c r="H45" s="41">
        <v>1</v>
      </c>
    </row>
    <row r="46" spans="1:8" x14ac:dyDescent="0.25">
      <c r="A46" s="52"/>
      <c r="F46" s="29" t="s">
        <v>48</v>
      </c>
      <c r="G46" s="275" cm="1">
        <f t="array" ref="G46">G43/m_Motorrad</f>
        <v>14.209200000000003</v>
      </c>
      <c r="H46" s="41">
        <v>1</v>
      </c>
    </row>
    <row r="47" spans="1:8" x14ac:dyDescent="0.25">
      <c r="A47" s="52"/>
      <c r="H47" s="33"/>
    </row>
    <row r="48" spans="1:8" ht="15.75" thickBot="1" x14ac:dyDescent="0.3">
      <c r="A48" s="37"/>
      <c r="B48" s="38"/>
      <c r="C48" s="38"/>
      <c r="D48" s="38"/>
      <c r="E48" s="38"/>
      <c r="F48" s="38"/>
      <c r="G48" s="137"/>
      <c r="H48" s="34"/>
    </row>
    <row r="49" spans="7:8" x14ac:dyDescent="0.25">
      <c r="G49" s="30" t="s">
        <v>40</v>
      </c>
      <c r="H49" s="31">
        <f>SUM(H30:H47)</f>
        <v>13</v>
      </c>
    </row>
  </sheetData>
  <mergeCells count="2">
    <mergeCell ref="A1:H2"/>
    <mergeCell ref="A3:H10"/>
  </mergeCells>
  <phoneticPr fontId="15" type="noConversion"/>
  <pageMargins left="0.7" right="0.7" top="0.75" bottom="0.75" header="0.3" footer="0.3"/>
  <pageSetup paperSize="9" scale="82" orientation="portrait" r:id="rId1"/>
  <headerFooter>
    <oddHeader>&amp;L&amp;"Calibri"&amp;10&amp;K000000Internal&amp;1#&amp;R&amp;"Calibri"&amp;10&amp;K000000&amp;1#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4.9989318521683403E-2"/>
  </sheetPr>
  <dimension ref="D6:F13"/>
  <sheetViews>
    <sheetView view="pageBreakPreview" zoomScale="145" zoomScaleNormal="100" zoomScaleSheetLayoutView="145" workbookViewId="0">
      <selection activeCell="G6" sqref="G6"/>
    </sheetView>
  </sheetViews>
  <sheetFormatPr baseColWidth="10" defaultRowHeight="15" x14ac:dyDescent="0.25"/>
  <cols>
    <col min="5" max="5" width="12.85546875" customWidth="1"/>
  </cols>
  <sheetData>
    <row r="6" spans="4:6" x14ac:dyDescent="0.25">
      <c r="E6" s="141"/>
      <c r="F6" s="141"/>
    </row>
    <row r="7" spans="4:6" x14ac:dyDescent="0.25">
      <c r="D7" t="s">
        <v>29</v>
      </c>
      <c r="E7" s="121">
        <f>'Aufgabe 1'!G23</f>
        <v>4</v>
      </c>
      <c r="F7" s="141"/>
    </row>
    <row r="8" spans="4:6" x14ac:dyDescent="0.25">
      <c r="D8" t="s">
        <v>30</v>
      </c>
      <c r="E8" s="121">
        <f>' 2 Fahrwiderst'!G62</f>
        <v>20</v>
      </c>
    </row>
    <row r="9" spans="4:6" x14ac:dyDescent="0.25">
      <c r="D9" t="s">
        <v>31</v>
      </c>
      <c r="E9" s="121">
        <f>'3 Kraftstoff'!G45</f>
        <v>13</v>
      </c>
    </row>
    <row r="10" spans="4:6" x14ac:dyDescent="0.25">
      <c r="D10" t="s">
        <v>32</v>
      </c>
      <c r="E10" s="121">
        <f>'4 Fahrleistung'!G45</f>
        <v>16</v>
      </c>
      <c r="F10" s="141"/>
    </row>
    <row r="11" spans="4:6" x14ac:dyDescent="0.25">
      <c r="D11" t="s">
        <v>161</v>
      </c>
      <c r="E11" s="121">
        <f>'5 Einspur'!G53</f>
        <v>13</v>
      </c>
      <c r="F11" s="141"/>
    </row>
    <row r="12" spans="4:6" x14ac:dyDescent="0.25">
      <c r="D12" t="s">
        <v>200</v>
      </c>
      <c r="E12" s="121">
        <f>'6 Schwerpunkt '!H49</f>
        <v>13</v>
      </c>
    </row>
    <row r="13" spans="4:6" x14ac:dyDescent="0.25">
      <c r="E13" s="60">
        <f>SUM(E6:E12)</f>
        <v>79</v>
      </c>
    </row>
  </sheetData>
  <phoneticPr fontId="15" type="noConversion"/>
  <pageMargins left="0.7" right="0.7" top="0.78740157499999996" bottom="0.78740157499999996" header="0.3" footer="0.3"/>
  <pageSetup paperSize="9" orientation="portrait" r:id="rId1"/>
  <headerFooter>
    <oddHeader>&amp;L&amp;"Calibri"&amp;10&amp;K000000Internal&amp;1#&amp;R&amp;"Calibri"&amp;10&amp;K000000&amp;1#_x000D_&amp;"Arial"&amp;11&amp;K000000&amp;"Arial"&amp;11&amp;K000000&amp;"Arial"&amp;11&amp;K000000&amp;"Arial"&amp;11&amp;K000000&amp;"Arial"&amp;11&amp;K000000&amp;"Arial"&amp;11&amp;K000000&amp;"Arial"&amp;11&amp;K000000&amp;"Arial"&amp;11&amp;K000000&amp;G</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C179-2D6E-4C0B-A294-4BBBFD6627AE}">
  <sheetPr>
    <tabColor theme="0" tint="-4.9989318521683403E-2"/>
  </sheetPr>
  <dimension ref="A1:V104"/>
  <sheetViews>
    <sheetView topLeftCell="A42" zoomScale="115" zoomScaleNormal="115" zoomScaleSheetLayoutView="100" workbookViewId="0">
      <selection activeCell="E13" sqref="E13"/>
    </sheetView>
  </sheetViews>
  <sheetFormatPr baseColWidth="10" defaultColWidth="11.42578125" defaultRowHeight="15" x14ac:dyDescent="0.25"/>
  <cols>
    <col min="2" max="2" width="12.28515625" customWidth="1"/>
    <col min="3" max="3" width="17" customWidth="1"/>
    <col min="4" max="4" width="18.5703125" customWidth="1"/>
    <col min="6" max="6" width="12.85546875" customWidth="1"/>
    <col min="10" max="10" width="7.7109375" customWidth="1"/>
    <col min="11" max="12" width="12.140625" style="53" customWidth="1"/>
    <col min="13" max="13" width="11.42578125" style="53"/>
    <col min="14" max="14" width="11.42578125" style="166"/>
  </cols>
  <sheetData>
    <row r="1" spans="1:21" ht="15" customHeight="1" x14ac:dyDescent="0.25">
      <c r="A1" s="323" t="s">
        <v>31</v>
      </c>
      <c r="B1" s="324"/>
      <c r="C1" s="324"/>
      <c r="D1" s="324"/>
      <c r="E1" s="324"/>
      <c r="F1" s="324"/>
      <c r="G1" s="325"/>
    </row>
    <row r="2" spans="1:21" ht="15" customHeight="1" x14ac:dyDescent="0.25">
      <c r="A2" s="326"/>
      <c r="B2" s="327"/>
      <c r="C2" s="327"/>
      <c r="D2" s="327"/>
      <c r="E2" s="327"/>
      <c r="F2" s="327"/>
      <c r="G2" s="328"/>
    </row>
    <row r="3" spans="1:21" ht="15.75" customHeight="1" x14ac:dyDescent="0.25">
      <c r="A3" s="329" t="s">
        <v>213</v>
      </c>
      <c r="B3" s="311"/>
      <c r="C3" s="311"/>
      <c r="D3" s="311"/>
      <c r="E3" s="311"/>
      <c r="F3" s="311"/>
      <c r="G3" s="330"/>
    </row>
    <row r="4" spans="1:21" ht="15.75" customHeight="1" x14ac:dyDescent="0.25">
      <c r="A4" s="329"/>
      <c r="B4" s="311"/>
      <c r="C4" s="311"/>
      <c r="D4" s="311"/>
      <c r="E4" s="311"/>
      <c r="F4" s="311"/>
      <c r="G4" s="330"/>
      <c r="J4" s="53" t="s">
        <v>131</v>
      </c>
      <c r="K4" s="53" t="s">
        <v>174</v>
      </c>
      <c r="L4" s="53" t="s">
        <v>197</v>
      </c>
      <c r="M4" s="166" t="s">
        <v>175</v>
      </c>
      <c r="N4" t="s">
        <v>195</v>
      </c>
      <c r="O4" t="s">
        <v>196</v>
      </c>
    </row>
    <row r="5" spans="1:21" ht="15.75" customHeight="1" x14ac:dyDescent="0.25">
      <c r="A5" s="329"/>
      <c r="B5" s="311"/>
      <c r="C5" s="311"/>
      <c r="D5" s="311"/>
      <c r="E5" s="311"/>
      <c r="F5" s="311"/>
      <c r="G5" s="330"/>
      <c r="J5" s="53">
        <v>1</v>
      </c>
      <c r="K5" s="242">
        <f t="shared" ref="K5:K68" si="0">180/PI()*ATAN(J5/100)</f>
        <v>0.57293869768348593</v>
      </c>
      <c r="L5" s="268">
        <f>K5/180*PI()</f>
        <v>9.9996666866652376E-3</v>
      </c>
      <c r="M5" s="243">
        <f t="shared" ref="M5:M68" si="1">COS(K5*PI()/180)</f>
        <v>0.99995000374968757</v>
      </c>
      <c r="N5" s="243">
        <f t="shared" ref="N5:N68" si="2">SIN(K5*PI()/180)</f>
        <v>9.9995000374968751E-3</v>
      </c>
      <c r="O5" s="243">
        <f>TAN(K5*PI()/180)</f>
        <v>0.01</v>
      </c>
    </row>
    <row r="6" spans="1:21" ht="15.75" customHeight="1" x14ac:dyDescent="0.25">
      <c r="A6" s="329"/>
      <c r="B6" s="311"/>
      <c r="C6" s="311"/>
      <c r="D6" s="311"/>
      <c r="E6" s="311"/>
      <c r="F6" s="311"/>
      <c r="G6" s="330"/>
      <c r="J6" s="53">
        <v>2</v>
      </c>
      <c r="K6" s="242">
        <f t="shared" si="0"/>
        <v>1.1457628381751035</v>
      </c>
      <c r="L6" s="268">
        <f t="shared" ref="L6:L69" si="3">K6/180*PI()</f>
        <v>1.9997333973150535E-2</v>
      </c>
      <c r="M6" s="243">
        <f t="shared" si="1"/>
        <v>0.99980005998000698</v>
      </c>
      <c r="N6" s="243">
        <f t="shared" si="2"/>
        <v>1.9996001199600138E-2</v>
      </c>
      <c r="O6" s="243">
        <f t="shared" ref="O6:O69" si="4">TAN(K6*PI()/180)</f>
        <v>1.9999999999999997E-2</v>
      </c>
    </row>
    <row r="7" spans="1:21" ht="15.75" customHeight="1" x14ac:dyDescent="0.25">
      <c r="A7" s="329"/>
      <c r="B7" s="311"/>
      <c r="C7" s="311"/>
      <c r="D7" s="311"/>
      <c r="E7" s="311"/>
      <c r="F7" s="311"/>
      <c r="G7" s="330"/>
      <c r="J7" s="53">
        <v>3</v>
      </c>
      <c r="K7" s="242">
        <f t="shared" si="0"/>
        <v>1.7183580016554572</v>
      </c>
      <c r="L7" s="268">
        <f t="shared" si="3"/>
        <v>2.99910048568779E-2</v>
      </c>
      <c r="M7" s="243">
        <f t="shared" si="1"/>
        <v>0.99955030352236673</v>
      </c>
      <c r="N7" s="243">
        <f t="shared" si="2"/>
        <v>2.9986509105671005E-2</v>
      </c>
      <c r="O7" s="243">
        <f t="shared" si="4"/>
        <v>0.03</v>
      </c>
    </row>
    <row r="8" spans="1:21" ht="15.75" customHeight="1" x14ac:dyDescent="0.25">
      <c r="A8" s="329"/>
      <c r="B8" s="311"/>
      <c r="C8" s="311"/>
      <c r="D8" s="311"/>
      <c r="E8" s="311"/>
      <c r="F8" s="311"/>
      <c r="G8" s="330"/>
      <c r="J8" s="53">
        <v>4</v>
      </c>
      <c r="K8" s="242">
        <f t="shared" si="0"/>
        <v>2.2906100426385296</v>
      </c>
      <c r="L8" s="268">
        <f t="shared" si="3"/>
        <v>3.9978687123290044E-2</v>
      </c>
      <c r="M8" s="243">
        <f t="shared" si="1"/>
        <v>0.99920095872178938</v>
      </c>
      <c r="N8" s="243">
        <f t="shared" si="2"/>
        <v>3.9968038348871575E-2</v>
      </c>
      <c r="O8" s="243">
        <f t="shared" si="4"/>
        <v>3.9999999999999994E-2</v>
      </c>
    </row>
    <row r="9" spans="1:21" ht="15.75" customHeight="1" x14ac:dyDescent="0.25">
      <c r="A9" s="329"/>
      <c r="B9" s="311"/>
      <c r="C9" s="311"/>
      <c r="D9" s="311"/>
      <c r="E9" s="311"/>
      <c r="F9" s="311"/>
      <c r="G9" s="330"/>
      <c r="J9" s="53">
        <v>5</v>
      </c>
      <c r="K9" s="242">
        <f t="shared" si="0"/>
        <v>2.8624052261117479</v>
      </c>
      <c r="L9" s="268">
        <f t="shared" si="3"/>
        <v>4.9958395721942765E-2</v>
      </c>
      <c r="M9" s="243">
        <f t="shared" si="1"/>
        <v>0.99875233887784465</v>
      </c>
      <c r="N9" s="243">
        <f t="shared" si="2"/>
        <v>4.9937616943892232E-2</v>
      </c>
      <c r="O9" s="243">
        <f t="shared" si="4"/>
        <v>4.9999999999999996E-2</v>
      </c>
    </row>
    <row r="10" spans="1:21" ht="15.75" customHeight="1" x14ac:dyDescent="0.25">
      <c r="A10" s="329"/>
      <c r="B10" s="311"/>
      <c r="C10" s="311"/>
      <c r="D10" s="311"/>
      <c r="E10" s="311"/>
      <c r="F10" s="311"/>
      <c r="G10" s="330"/>
      <c r="J10" s="53">
        <v>6</v>
      </c>
      <c r="K10" s="242">
        <f t="shared" si="0"/>
        <v>3.433630362450522</v>
      </c>
      <c r="L10" s="268">
        <f t="shared" si="3"/>
        <v>5.9928155121207888E-2</v>
      </c>
      <c r="M10" s="243">
        <f t="shared" si="1"/>
        <v>0.9982048454657787</v>
      </c>
      <c r="N10" s="243">
        <f t="shared" si="2"/>
        <v>5.9892290727946725E-2</v>
      </c>
      <c r="O10" s="243">
        <f t="shared" si="4"/>
        <v>6.0000000000000005E-2</v>
      </c>
    </row>
    <row r="11" spans="1:21" ht="15.75" customHeight="1" thickBot="1" x14ac:dyDescent="0.3">
      <c r="A11" s="331"/>
      <c r="B11" s="332"/>
      <c r="C11" s="332"/>
      <c r="D11" s="332"/>
      <c r="E11" s="332"/>
      <c r="F11" s="332"/>
      <c r="G11" s="333"/>
      <c r="J11" s="53">
        <v>7</v>
      </c>
      <c r="K11" s="242">
        <f t="shared" si="0"/>
        <v>4.0041729407093882</v>
      </c>
      <c r="L11" s="268">
        <f t="shared" si="3"/>
        <v>6.9886001634642508E-2</v>
      </c>
      <c r="M11" s="243">
        <f t="shared" si="1"/>
        <v>0.99755896714162673</v>
      </c>
      <c r="N11" s="243">
        <f t="shared" si="2"/>
        <v>6.9829127699913895E-2</v>
      </c>
      <c r="O11" s="243">
        <f t="shared" si="4"/>
        <v>7.0000000000000021E-2</v>
      </c>
    </row>
    <row r="12" spans="1:21" x14ac:dyDescent="0.25">
      <c r="A12" s="134" t="s">
        <v>12</v>
      </c>
      <c r="B12" s="135"/>
      <c r="C12" s="135" t="s">
        <v>38</v>
      </c>
      <c r="D12" s="80" t="s">
        <v>43</v>
      </c>
      <c r="E12" s="68">
        <v>100</v>
      </c>
      <c r="F12" s="115">
        <f>E12/3.6</f>
        <v>27.777777777777779</v>
      </c>
      <c r="G12" s="136"/>
      <c r="J12" s="53">
        <v>8</v>
      </c>
      <c r="K12" s="242">
        <f t="shared" si="0"/>
        <v>4.5739212599008612</v>
      </c>
      <c r="L12" s="268">
        <f t="shared" si="3"/>
        <v>7.9829985712237317E-2</v>
      </c>
      <c r="M12" s="243">
        <f t="shared" si="1"/>
        <v>0.99681527853612495</v>
      </c>
      <c r="N12" s="243">
        <f t="shared" si="2"/>
        <v>7.9745222282890008E-2</v>
      </c>
      <c r="O12" s="243">
        <f t="shared" si="4"/>
        <v>0.08</v>
      </c>
    </row>
    <row r="13" spans="1:21" x14ac:dyDescent="0.25">
      <c r="A13" s="81"/>
      <c r="B13" s="49"/>
      <c r="C13" s="49"/>
      <c r="D13" s="180" t="s">
        <v>113</v>
      </c>
      <c r="E13" s="181">
        <v>0</v>
      </c>
      <c r="G13" s="40"/>
      <c r="J13" s="53">
        <v>9</v>
      </c>
      <c r="K13" s="242">
        <f t="shared" si="0"/>
        <v>5.1427645578842416</v>
      </c>
      <c r="L13" s="268">
        <f t="shared" si="3"/>
        <v>8.9758174189950524E-2</v>
      </c>
      <c r="M13" s="243">
        <f t="shared" si="1"/>
        <v>0.99597443884322878</v>
      </c>
      <c r="N13" s="243">
        <f t="shared" si="2"/>
        <v>8.9637699495890594E-2</v>
      </c>
      <c r="O13" s="243">
        <f t="shared" si="4"/>
        <v>0.09</v>
      </c>
    </row>
    <row r="14" spans="1:21" x14ac:dyDescent="0.25">
      <c r="A14" s="81"/>
      <c r="B14" s="49"/>
      <c r="C14" s="29"/>
      <c r="D14" s="29"/>
      <c r="E14" s="29"/>
      <c r="F14" s="62"/>
      <c r="G14" s="33"/>
      <c r="J14" s="53">
        <v>10</v>
      </c>
      <c r="K14" s="242">
        <f t="shared" si="0"/>
        <v>5.710593137499643</v>
      </c>
      <c r="L14" s="268">
        <f t="shared" si="3"/>
        <v>9.9668652491162038E-2</v>
      </c>
      <c r="M14" s="243">
        <f t="shared" si="1"/>
        <v>0.99503719020998915</v>
      </c>
      <c r="N14" s="243">
        <f t="shared" si="2"/>
        <v>9.9503719020998929E-2</v>
      </c>
      <c r="O14" s="243">
        <f t="shared" si="4"/>
        <v>0.1</v>
      </c>
      <c r="R14" s="166" t="s">
        <v>190</v>
      </c>
      <c r="S14" s="166" t="s">
        <v>191</v>
      </c>
    </row>
    <row r="15" spans="1:21" x14ac:dyDescent="0.25">
      <c r="A15" s="81"/>
      <c r="B15" s="49"/>
      <c r="D15" s="39"/>
      <c r="G15" s="41">
        <v>1</v>
      </c>
      <c r="J15" s="53">
        <v>11</v>
      </c>
      <c r="K15" s="242">
        <f t="shared" si="0"/>
        <v>6.2772984895975545</v>
      </c>
      <c r="L15" s="268">
        <f t="shared" si="3"/>
        <v>0.10955952677394434</v>
      </c>
      <c r="M15" s="243">
        <f t="shared" si="1"/>
        <v>0.9940043559354329</v>
      </c>
      <c r="N15" s="243">
        <f t="shared" si="2"/>
        <v>0.10934047915289762</v>
      </c>
      <c r="O15" s="243">
        <f t="shared" si="4"/>
        <v>0.11</v>
      </c>
      <c r="R15" s="166">
        <f>V_F</f>
        <v>100</v>
      </c>
      <c r="S15" s="268">
        <f>v_th</f>
        <v>100</v>
      </c>
    </row>
    <row r="16" spans="1:21" ht="18" x14ac:dyDescent="0.35">
      <c r="A16" s="52"/>
      <c r="B16" s="29" t="s">
        <v>94</v>
      </c>
      <c r="C16" t="str">
        <f>CONCATENATE(0.5,"*",roh_Luft,"*",cw,"*",A,"*(",E12,"/",3.6,")^2")</f>
        <v>0,5*1,18*0,3*2,4*(100/3,6)^2</v>
      </c>
      <c r="G16" s="33"/>
      <c r="J16" s="53">
        <v>12</v>
      </c>
      <c r="K16" s="242">
        <f t="shared" si="0"/>
        <v>6.8427734126309403</v>
      </c>
      <c r="L16" s="268">
        <f t="shared" si="3"/>
        <v>0.11942892601833845</v>
      </c>
      <c r="M16" s="243">
        <f t="shared" si="1"/>
        <v>0.9928768384869221</v>
      </c>
      <c r="N16" s="243">
        <f t="shared" si="2"/>
        <v>0.11914522061843064</v>
      </c>
      <c r="O16" s="243">
        <f t="shared" si="4"/>
        <v>0.12</v>
      </c>
      <c r="P16" s="182" t="s">
        <v>103</v>
      </c>
      <c r="Q16" s="183" t="e">
        <f>S16/S15*3.6*1000</f>
        <v>#REF!</v>
      </c>
      <c r="R16" s="268" t="e">
        <f>R24-R23-R22-R19-R18-R17</f>
        <v>#REF!</v>
      </c>
      <c r="S16" s="242" t="e">
        <f>S24-S23-S22-S19-S18-S17</f>
        <v>#REF!</v>
      </c>
      <c r="U16" s="272" t="e">
        <f>Q16-Q31</f>
        <v>#REF!</v>
      </c>
    </row>
    <row r="17" spans="1:22" ht="18" x14ac:dyDescent="0.35">
      <c r="A17" s="52"/>
      <c r="C17" s="182" t="s">
        <v>94</v>
      </c>
      <c r="D17" s="183">
        <f>0.5*roh_Luft*cw*A*E12^2/3.6^2</f>
        <v>327.77777777777777</v>
      </c>
      <c r="G17" s="41">
        <v>1</v>
      </c>
      <c r="J17" s="53">
        <v>13</v>
      </c>
      <c r="K17" s="242">
        <f t="shared" si="0"/>
        <v>7.4069121284952297</v>
      </c>
      <c r="L17" s="268">
        <f t="shared" si="3"/>
        <v>0.12927500404814307</v>
      </c>
      <c r="M17" s="243">
        <f t="shared" si="1"/>
        <v>0.99165561734323782</v>
      </c>
      <c r="N17" s="243">
        <f t="shared" si="2"/>
        <v>0.12891523025462093</v>
      </c>
      <c r="O17" s="243">
        <f t="shared" si="4"/>
        <v>0.13</v>
      </c>
      <c r="P17" s="182" t="s">
        <v>94</v>
      </c>
      <c r="Q17" s="183">
        <f>0.5*roh_Luft*cw*A*E12^2/3.6^2</f>
        <v>327.77777777777777</v>
      </c>
      <c r="R17" s="268">
        <f>Q17*$R$15/3.6/1000</f>
        <v>9.1049382716049365</v>
      </c>
      <c r="S17" s="268">
        <f>Q17*$S$15/3.6/1000</f>
        <v>9.1049382716049365</v>
      </c>
      <c r="U17" s="272"/>
    </row>
    <row r="18" spans="1:22" ht="18" x14ac:dyDescent="0.35">
      <c r="A18" s="52"/>
      <c r="C18" s="29"/>
      <c r="D18" s="42"/>
      <c r="G18" s="33"/>
      <c r="J18" s="53">
        <v>14</v>
      </c>
      <c r="K18" s="242">
        <f t="shared" si="0"/>
        <v>7.9696103943213599</v>
      </c>
      <c r="L18" s="268">
        <f t="shared" si="3"/>
        <v>0.13909594148207133</v>
      </c>
      <c r="M18" s="243">
        <f t="shared" si="1"/>
        <v>0.99034174667433017</v>
      </c>
      <c r="N18" s="243">
        <f t="shared" si="2"/>
        <v>0.13864784453440623</v>
      </c>
      <c r="O18" s="243">
        <f t="shared" si="4"/>
        <v>0.14000000000000001</v>
      </c>
      <c r="P18" s="182" t="s">
        <v>95</v>
      </c>
      <c r="Q18" s="183">
        <f>m_F_normal*g_Erdbeschl.*fr</f>
        <v>127.53</v>
      </c>
      <c r="R18" s="268">
        <f t="shared" ref="R18:R22" si="5">Q18*$R$15/3.6/1000</f>
        <v>3.5425</v>
      </c>
      <c r="S18" s="268">
        <f t="shared" ref="S18:S19" si="6">Q18*$S$15/3.6/1000</f>
        <v>3.5425</v>
      </c>
      <c r="U18" s="272"/>
    </row>
    <row r="19" spans="1:22" ht="18" x14ac:dyDescent="0.35">
      <c r="A19" s="52"/>
      <c r="C19" s="29"/>
      <c r="D19" s="101"/>
      <c r="G19" s="41">
        <v>1</v>
      </c>
      <c r="J19" s="53">
        <v>15</v>
      </c>
      <c r="K19" s="242">
        <f t="shared" si="0"/>
        <v>8.5307656099481335</v>
      </c>
      <c r="L19" s="268">
        <f t="shared" si="3"/>
        <v>0.14888994760949725</v>
      </c>
      <c r="M19" s="243">
        <f t="shared" si="1"/>
        <v>0.98893635286829751</v>
      </c>
      <c r="N19" s="243">
        <f t="shared" si="2"/>
        <v>0.14834045293024464</v>
      </c>
      <c r="O19" s="243">
        <f t="shared" si="4"/>
        <v>0.15</v>
      </c>
      <c r="P19" s="182" t="s">
        <v>112</v>
      </c>
      <c r="Q19" s="183">
        <f>m_F_normal*g_Erdbeschl.*p</f>
        <v>0</v>
      </c>
      <c r="R19" s="268">
        <f t="shared" si="5"/>
        <v>0</v>
      </c>
      <c r="S19" s="268">
        <f t="shared" si="6"/>
        <v>0</v>
      </c>
      <c r="U19" s="272"/>
    </row>
    <row r="20" spans="1:22" ht="18" x14ac:dyDescent="0.35">
      <c r="A20" s="52"/>
      <c r="B20" s="180" t="s">
        <v>95</v>
      </c>
      <c r="C20" s="66" t="str">
        <f>CONCATENATE(m_F_normal,"*",g_Erdbeschl.,"*",fr,"")</f>
        <v>1300*9,81*0,01</v>
      </c>
      <c r="G20" s="33"/>
      <c r="J20" s="53">
        <v>16</v>
      </c>
      <c r="K20" s="242">
        <f t="shared" si="0"/>
        <v>9.0902769208223226</v>
      </c>
      <c r="L20" s="268">
        <f t="shared" si="3"/>
        <v>0.15865526218640141</v>
      </c>
      <c r="M20" s="243">
        <f t="shared" si="1"/>
        <v>0.98744063191670539</v>
      </c>
      <c r="N20" s="243">
        <f t="shared" si="2"/>
        <v>0.15799050110667287</v>
      </c>
      <c r="O20" s="243">
        <f t="shared" si="4"/>
        <v>0.16</v>
      </c>
      <c r="P20" s="182" t="s">
        <v>185</v>
      </c>
      <c r="Q20" s="270" t="e">
        <f>SUM(Q16:Q19)</f>
        <v>#REF!</v>
      </c>
      <c r="R20" s="270"/>
      <c r="S20" s="270"/>
      <c r="U20" s="272" t="e">
        <f t="shared" ref="U20:U23" si="7">Q20-Q35</f>
        <v>#REF!</v>
      </c>
    </row>
    <row r="21" spans="1:22" ht="18" x14ac:dyDescent="0.35">
      <c r="A21" s="52"/>
      <c r="C21" s="182" t="s">
        <v>95</v>
      </c>
      <c r="D21" s="183">
        <f>m_F_normal*g_Erdbeschl.*fr</f>
        <v>127.53</v>
      </c>
      <c r="G21" s="41">
        <v>1</v>
      </c>
      <c r="J21" s="53">
        <v>17</v>
      </c>
      <c r="K21" s="242">
        <f t="shared" si="0"/>
        <v>9.6480453160981572</v>
      </c>
      <c r="L21" s="268">
        <f t="shared" si="3"/>
        <v>0.16839015714752992</v>
      </c>
      <c r="M21" s="243">
        <f t="shared" si="1"/>
        <v>0.9858558466698174</v>
      </c>
      <c r="N21" s="243">
        <f t="shared" si="2"/>
        <v>0.16759549393386894</v>
      </c>
      <c r="O21" s="243">
        <f t="shared" si="4"/>
        <v>0.16999999999999998</v>
      </c>
      <c r="U21" s="272"/>
    </row>
    <row r="22" spans="1:22" ht="18" x14ac:dyDescent="0.35">
      <c r="A22" s="52"/>
      <c r="G22" s="33"/>
      <c r="J22" s="53">
        <v>18</v>
      </c>
      <c r="K22" s="242">
        <f t="shared" si="0"/>
        <v>10.203973721731684</v>
      </c>
      <c r="L22" s="268">
        <f t="shared" si="3"/>
        <v>0.17809293823119754</v>
      </c>
      <c r="M22" s="243">
        <f t="shared" si="1"/>
        <v>0.98418332397369535</v>
      </c>
      <c r="N22" s="243">
        <f t="shared" si="2"/>
        <v>0.17715299831526515</v>
      </c>
      <c r="O22" s="243">
        <f t="shared" si="4"/>
        <v>0.18</v>
      </c>
      <c r="P22" s="182" t="s">
        <v>187</v>
      </c>
      <c r="Q22" s="183">
        <f>D60/V_F*3.6*1000</f>
        <v>29.062198581560313</v>
      </c>
      <c r="R22" s="268">
        <f t="shared" si="5"/>
        <v>0.80728329393223086</v>
      </c>
      <c r="S22" s="268">
        <f>R22</f>
        <v>0.80728329393223086</v>
      </c>
      <c r="U22" s="272">
        <f t="shared" si="7"/>
        <v>0</v>
      </c>
    </row>
    <row r="23" spans="1:22" ht="18" x14ac:dyDescent="0.35">
      <c r="A23" s="52"/>
      <c r="G23" s="41">
        <v>1</v>
      </c>
      <c r="J23" s="53">
        <v>19</v>
      </c>
      <c r="K23" s="242">
        <f t="shared" si="0"/>
        <v>10.757967088390005</v>
      </c>
      <c r="L23" s="268">
        <f t="shared" si="3"/>
        <v>0.18776194651359343</v>
      </c>
      <c r="M23" s="243">
        <f t="shared" si="1"/>
        <v>0.98242445170142201</v>
      </c>
      <c r="N23" s="243">
        <f t="shared" si="2"/>
        <v>0.18666064582327016</v>
      </c>
      <c r="O23" s="243">
        <f t="shared" si="4"/>
        <v>0.18999999999999997</v>
      </c>
      <c r="P23" s="182" t="s">
        <v>188</v>
      </c>
      <c r="Q23" s="183" t="e">
        <f>Q20*(v_th-V_F)/V_F</f>
        <v>#REF!</v>
      </c>
      <c r="R23" s="268" t="e">
        <f>Q23*$R$15/3.6/1000</f>
        <v>#REF!</v>
      </c>
      <c r="S23" s="268"/>
      <c r="U23" s="272" t="e">
        <f t="shared" si="7"/>
        <v>#REF!</v>
      </c>
    </row>
    <row r="24" spans="1:22" ht="18" x14ac:dyDescent="0.35">
      <c r="A24" s="52"/>
      <c r="B24" s="180" t="s">
        <v>112</v>
      </c>
      <c r="C24" s="66" t="str">
        <f>CONCATENATE(m_F_normal,"*",g_Erdbeschl.,"*",p)</f>
        <v>1300*9,81*0</v>
      </c>
      <c r="G24" s="33"/>
      <c r="J24" s="53">
        <v>20</v>
      </c>
      <c r="K24" s="242">
        <f t="shared" si="0"/>
        <v>11.309932474020215</v>
      </c>
      <c r="L24" s="268">
        <f t="shared" si="3"/>
        <v>0.1973955598498808</v>
      </c>
      <c r="M24" s="243">
        <f t="shared" si="1"/>
        <v>0.98058067569092011</v>
      </c>
      <c r="N24" s="243">
        <f t="shared" si="2"/>
        <v>0.19611613513818407</v>
      </c>
      <c r="O24" s="243">
        <f t="shared" si="4"/>
        <v>0.20000000000000004</v>
      </c>
      <c r="R24" s="268" t="e">
        <f>'4 Fahrleistung'!#REF!</f>
        <v>#REF!</v>
      </c>
      <c r="S24" s="268" t="e">
        <f>'4 Fahrleistung'!#REF!</f>
        <v>#REF!</v>
      </c>
      <c r="U24" s="272"/>
    </row>
    <row r="25" spans="1:22" ht="18" x14ac:dyDescent="0.35">
      <c r="A25" s="52"/>
      <c r="C25" s="182" t="s">
        <v>112</v>
      </c>
      <c r="D25" s="183">
        <f>m_F_normal*g_Erdbeschl.*p</f>
        <v>0</v>
      </c>
      <c r="G25" s="41">
        <v>1</v>
      </c>
      <c r="J25" s="53">
        <v>21</v>
      </c>
      <c r="K25" s="242">
        <f t="shared" si="0"/>
        <v>11.859779120947978</v>
      </c>
      <c r="L25" s="268">
        <f t="shared" si="3"/>
        <v>0.20699219421982101</v>
      </c>
      <c r="M25" s="243">
        <f t="shared" si="1"/>
        <v>0.97865349660197065</v>
      </c>
      <c r="N25" s="243">
        <f t="shared" si="2"/>
        <v>0.2055172342864138</v>
      </c>
      <c r="O25" s="243">
        <f t="shared" si="4"/>
        <v>0.21</v>
      </c>
      <c r="R25" s="272" t="e">
        <f>Q20+Q22+Q23</f>
        <v>#REF!</v>
      </c>
      <c r="S25" s="55" t="e">
        <f>Q20+Q22</f>
        <v>#REF!</v>
      </c>
      <c r="U25" s="272" t="e">
        <f>R25-R40</f>
        <v>#REF!</v>
      </c>
      <c r="V25" s="272" t="e">
        <f>S25-S40</f>
        <v>#REF!</v>
      </c>
    </row>
    <row r="26" spans="1:22" ht="18" x14ac:dyDescent="0.35">
      <c r="A26" s="52"/>
      <c r="C26" s="182" t="s">
        <v>187</v>
      </c>
      <c r="D26" s="183">
        <f>D60/V_F*3.6*1000</f>
        <v>29.062198581560313</v>
      </c>
      <c r="G26" s="33"/>
      <c r="J26" s="53">
        <v>22</v>
      </c>
      <c r="K26" s="242">
        <f t="shared" si="0"/>
        <v>12.407418527400745</v>
      </c>
      <c r="L26" s="268">
        <f t="shared" si="3"/>
        <v>0.21655030497608926</v>
      </c>
      <c r="M26" s="243">
        <f t="shared" si="1"/>
        <v>0.97664446670508998</v>
      </c>
      <c r="N26" s="243">
        <f t="shared" si="2"/>
        <v>0.21486178267511979</v>
      </c>
      <c r="O26" s="243">
        <f t="shared" si="4"/>
        <v>0.22000000000000003</v>
      </c>
    </row>
    <row r="27" spans="1:22" ht="18" x14ac:dyDescent="0.35">
      <c r="C27" s="182" t="s">
        <v>188</v>
      </c>
      <c r="D27" s="183">
        <f>D56/V_F*3.6*1000</f>
        <v>0</v>
      </c>
      <c r="J27" s="53">
        <v>23</v>
      </c>
      <c r="K27" s="242">
        <f t="shared" si="0"/>
        <v>12.95276451337552</v>
      </c>
      <c r="L27" s="268">
        <f t="shared" si="3"/>
        <v>0.22606838799388393</v>
      </c>
      <c r="M27" s="243">
        <f t="shared" si="1"/>
        <v>0.97455518661489959</v>
      </c>
      <c r="N27" s="243">
        <f t="shared" si="2"/>
        <v>0.22414769292142692</v>
      </c>
      <c r="O27" s="243">
        <f t="shared" si="4"/>
        <v>0.23000000000000004</v>
      </c>
      <c r="Q27" s="272"/>
    </row>
    <row r="28" spans="1:22" x14ac:dyDescent="0.25">
      <c r="C28" s="182" t="s">
        <v>189</v>
      </c>
      <c r="D28" s="267">
        <f>D27+D25+D26+D21+D17</f>
        <v>484.36997635933812</v>
      </c>
      <c r="E28">
        <f>D52/V_F*3.6*1000</f>
        <v>484.36997635933812</v>
      </c>
      <c r="J28" s="53">
        <v>24</v>
      </c>
      <c r="K28" s="242">
        <f t="shared" si="0"/>
        <v>13.495733280795811</v>
      </c>
      <c r="L28" s="268">
        <f t="shared" si="3"/>
        <v>0.2355449807208633</v>
      </c>
      <c r="M28" s="243">
        <f t="shared" si="1"/>
        <v>0.97238730198051748</v>
      </c>
      <c r="N28" s="243">
        <f t="shared" si="2"/>
        <v>0.23337295247532419</v>
      </c>
      <c r="O28" s="243">
        <f t="shared" si="4"/>
        <v>0.24</v>
      </c>
    </row>
    <row r="29" spans="1:22" x14ac:dyDescent="0.25">
      <c r="J29" s="53">
        <v>25</v>
      </c>
      <c r="K29" s="242">
        <f t="shared" si="0"/>
        <v>14.036243467926479</v>
      </c>
      <c r="L29" s="268">
        <f t="shared" si="3"/>
        <v>0.24497866312686414</v>
      </c>
      <c r="M29" s="243">
        <f t="shared" si="1"/>
        <v>0.97014250014533188</v>
      </c>
      <c r="N29" s="243">
        <f t="shared" si="2"/>
        <v>0.24253562503633294</v>
      </c>
      <c r="O29" s="243">
        <f t="shared" si="4"/>
        <v>0.24999999999999997</v>
      </c>
      <c r="R29" s="166" t="s">
        <v>190</v>
      </c>
      <c r="S29" s="166" t="s">
        <v>191</v>
      </c>
    </row>
    <row r="30" spans="1:22" x14ac:dyDescent="0.25">
      <c r="A30" s="52"/>
      <c r="G30" s="41">
        <v>1</v>
      </c>
      <c r="J30" s="53">
        <v>26</v>
      </c>
      <c r="K30" s="242">
        <f t="shared" si="0"/>
        <v>14.574216198038739</v>
      </c>
      <c r="L30" s="268">
        <f t="shared" si="3"/>
        <v>0.25436805855326594</v>
      </c>
      <c r="M30" s="243">
        <f t="shared" si="1"/>
        <v>0.96782250678827197</v>
      </c>
      <c r="N30" s="243">
        <f t="shared" si="2"/>
        <v>0.25163385176495073</v>
      </c>
      <c r="O30" s="243">
        <f t="shared" si="4"/>
        <v>0.26</v>
      </c>
      <c r="R30" s="166">
        <f>V_F</f>
        <v>100</v>
      </c>
      <c r="S30" s="268">
        <f>v_th</f>
        <v>100</v>
      </c>
    </row>
    <row r="31" spans="1:22" ht="18" x14ac:dyDescent="0.35">
      <c r="A31" s="52"/>
      <c r="B31" s="29" t="s">
        <v>96</v>
      </c>
      <c r="C31" t="str">
        <f>CONCATENATE(ROUND(D17,2),"+",D21,"+",D25)</f>
        <v>327,78+127,53+0</v>
      </c>
      <c r="G31" s="33"/>
      <c r="J31" s="53">
        <v>27</v>
      </c>
      <c r="K31" s="242">
        <f t="shared" si="0"/>
        <v>15.109575122340466</v>
      </c>
      <c r="L31" s="268">
        <f t="shared" si="3"/>
        <v>0.26371183446226615</v>
      </c>
      <c r="M31" s="243">
        <f t="shared" si="1"/>
        <v>0.96542908255838722</v>
      </c>
      <c r="N31" s="243">
        <f t="shared" si="2"/>
        <v>0.26066585229076461</v>
      </c>
      <c r="O31" s="243">
        <f t="shared" si="4"/>
        <v>0.27</v>
      </c>
      <c r="P31" s="182" t="s">
        <v>103</v>
      </c>
      <c r="Q31" s="183">
        <f>S31/S30*3.6*1000</f>
        <v>0</v>
      </c>
      <c r="R31" s="268">
        <f>R39-R38-R37-R34-R33-R32</f>
        <v>0</v>
      </c>
      <c r="S31" s="242">
        <f>S39-S38-S37-S34-S33-S32</f>
        <v>0</v>
      </c>
    </row>
    <row r="32" spans="1:22" ht="18" x14ac:dyDescent="0.35">
      <c r="A32" s="52"/>
      <c r="C32" s="182" t="s">
        <v>96</v>
      </c>
      <c r="D32" s="183">
        <f>D17+D21+D25</f>
        <v>455.3077777777778</v>
      </c>
      <c r="G32" s="41">
        <v>1</v>
      </c>
      <c r="J32" s="53">
        <v>28</v>
      </c>
      <c r="K32" s="242">
        <f t="shared" si="0"/>
        <v>15.642246457208728</v>
      </c>
      <c r="L32" s="268">
        <f t="shared" si="3"/>
        <v>0.2730087030867106</v>
      </c>
      <c r="M32" s="243">
        <f t="shared" si="1"/>
        <v>0.96296401971418166</v>
      </c>
      <c r="N32" s="243">
        <f t="shared" si="2"/>
        <v>0.26962992551997089</v>
      </c>
      <c r="O32" s="243">
        <f t="shared" si="4"/>
        <v>0.28000000000000003</v>
      </c>
      <c r="P32" s="182" t="s">
        <v>94</v>
      </c>
      <c r="Q32" s="183">
        <f>0.5*roh_Luft*cw*A*E12^2/3.6^2</f>
        <v>327.77777777777777</v>
      </c>
      <c r="R32" s="268">
        <f>Q17*$R$15/3.6/1000</f>
        <v>9.1049382716049365</v>
      </c>
      <c r="S32" s="268">
        <f>Q17*$S$15/3.6/1000</f>
        <v>9.1049382716049365</v>
      </c>
    </row>
    <row r="33" spans="1:19" ht="18.75" thickBot="1" x14ac:dyDescent="0.4">
      <c r="A33" s="37"/>
      <c r="B33" s="38"/>
      <c r="C33" s="38"/>
      <c r="D33" s="38"/>
      <c r="E33" s="38"/>
      <c r="F33" s="38"/>
      <c r="G33" s="34"/>
      <c r="H33" s="51">
        <f>SUM(G15:G32)</f>
        <v>8</v>
      </c>
      <c r="J33" s="53">
        <v>29</v>
      </c>
      <c r="K33" s="242">
        <f t="shared" si="0"/>
        <v>16.172159015782551</v>
      </c>
      <c r="L33" s="268">
        <f t="shared" si="3"/>
        <v>0.28225742198149112</v>
      </c>
      <c r="M33" s="243">
        <f t="shared" si="1"/>
        <v>0.96042913877873204</v>
      </c>
      <c r="N33" s="243">
        <f t="shared" si="2"/>
        <v>0.27852445024583228</v>
      </c>
      <c r="O33" s="243">
        <f t="shared" si="4"/>
        <v>0.28999999999999998</v>
      </c>
      <c r="P33" s="182" t="s">
        <v>95</v>
      </c>
      <c r="Q33" s="183">
        <f>m_F_normal*g_Erdbeschl.*fr</f>
        <v>127.53</v>
      </c>
      <c r="R33" s="268">
        <f t="shared" ref="R33:R34" si="8">Q33*$R$15/3.6/1000</f>
        <v>3.5425</v>
      </c>
      <c r="S33" s="268">
        <f t="shared" ref="S33:S34" si="9">Q33*$S$15/3.6/1000</f>
        <v>3.5425</v>
      </c>
    </row>
    <row r="34" spans="1:19" ht="18.75" x14ac:dyDescent="0.35">
      <c r="A34" s="35"/>
      <c r="B34" s="36"/>
      <c r="C34" s="36"/>
      <c r="D34" s="184" t="s">
        <v>115</v>
      </c>
      <c r="E34" s="185">
        <v>0</v>
      </c>
      <c r="F34" s="36"/>
      <c r="G34" s="32"/>
      <c r="J34" s="53">
        <v>30</v>
      </c>
      <c r="K34" s="242">
        <f t="shared" si="0"/>
        <v>16.699244233993621</v>
      </c>
      <c r="L34" s="268">
        <f t="shared" si="3"/>
        <v>0.29145679447786704</v>
      </c>
      <c r="M34" s="243">
        <f t="shared" si="1"/>
        <v>0.95782628522115143</v>
      </c>
      <c r="N34" s="243">
        <f t="shared" si="2"/>
        <v>0.28734788556634544</v>
      </c>
      <c r="O34" s="243">
        <f t="shared" si="4"/>
        <v>0.3</v>
      </c>
      <c r="P34" s="182" t="s">
        <v>112</v>
      </c>
      <c r="Q34" s="183">
        <f>m_F_normal*g_Erdbeschl.*p</f>
        <v>0</v>
      </c>
      <c r="R34" s="268">
        <f t="shared" si="8"/>
        <v>0</v>
      </c>
      <c r="S34" s="268">
        <f t="shared" si="9"/>
        <v>0</v>
      </c>
    </row>
    <row r="35" spans="1:19" x14ac:dyDescent="0.25">
      <c r="A35" s="52" t="s">
        <v>14</v>
      </c>
      <c r="G35" s="33"/>
      <c r="J35" s="53">
        <v>31</v>
      </c>
      <c r="K35" s="242">
        <f t="shared" si="0"/>
        <v>17.223436191131462</v>
      </c>
      <c r="L35" s="268">
        <f t="shared" si="3"/>
        <v>0.30060567004239536</v>
      </c>
      <c r="M35" s="243">
        <f t="shared" si="1"/>
        <v>0.95515732617445348</v>
      </c>
      <c r="N35" s="243">
        <f t="shared" si="2"/>
        <v>0.29609877111408056</v>
      </c>
      <c r="O35" s="243">
        <f t="shared" si="4"/>
        <v>0.30999999999999994</v>
      </c>
      <c r="P35" s="182" t="s">
        <v>185</v>
      </c>
      <c r="Q35" s="270">
        <f>SUM(Q31:Q34)</f>
        <v>455.3077777777778</v>
      </c>
      <c r="R35" s="270"/>
      <c r="S35" s="270"/>
    </row>
    <row r="36" spans="1:19" x14ac:dyDescent="0.25">
      <c r="A36" s="52"/>
      <c r="G36" s="41">
        <v>1</v>
      </c>
      <c r="J36" s="53">
        <v>32</v>
      </c>
      <c r="K36" s="242">
        <f t="shared" si="0"/>
        <v>17.744671625056935</v>
      </c>
      <c r="L36" s="268">
        <f t="shared" si="3"/>
        <v>0.30970294454245623</v>
      </c>
      <c r="M36" s="243">
        <f t="shared" si="1"/>
        <v>0.95242414719932422</v>
      </c>
      <c r="N36" s="243">
        <f t="shared" si="2"/>
        <v>0.30477572710378376</v>
      </c>
      <c r="O36" s="243">
        <f t="shared" si="4"/>
        <v>0.32</v>
      </c>
    </row>
    <row r="37" spans="1:19" ht="18" x14ac:dyDescent="0.35">
      <c r="A37" s="52"/>
      <c r="G37" s="33"/>
      <c r="J37" s="53">
        <v>33</v>
      </c>
      <c r="K37" s="242">
        <f t="shared" si="0"/>
        <v>18.262889942194128</v>
      </c>
      <c r="L37" s="268">
        <f t="shared" si="3"/>
        <v>0.31874756042064445</v>
      </c>
      <c r="M37" s="243">
        <f t="shared" si="1"/>
        <v>0.94962864910273292</v>
      </c>
      <c r="N37" s="243">
        <f t="shared" si="2"/>
        <v>0.31337745420390184</v>
      </c>
      <c r="O37" s="243">
        <f t="shared" si="4"/>
        <v>0.32999999999999996</v>
      </c>
      <c r="P37" s="182" t="s">
        <v>187</v>
      </c>
      <c r="Q37" s="183">
        <f>R39*(1-eta_Tr)/V_F*3.6*1000</f>
        <v>29.062198581560313</v>
      </c>
      <c r="R37" s="268">
        <f>Q37*$R$30/3.6/1000</f>
        <v>0.80728329393223086</v>
      </c>
      <c r="S37" s="268">
        <f>R37</f>
        <v>0.80728329393223086</v>
      </c>
    </row>
    <row r="38" spans="1:19" ht="18" x14ac:dyDescent="0.35">
      <c r="A38" s="52"/>
      <c r="G38" s="41">
        <v>2</v>
      </c>
      <c r="J38" s="53">
        <v>34</v>
      </c>
      <c r="K38" s="242">
        <f t="shared" si="0"/>
        <v>18.778033222445544</v>
      </c>
      <c r="L38" s="268">
        <f t="shared" si="3"/>
        <v>0.32773850678055549</v>
      </c>
      <c r="M38" s="243">
        <f t="shared" si="1"/>
        <v>0.94677274481971274</v>
      </c>
      <c r="N38" s="243">
        <f t="shared" si="2"/>
        <v>0.32190273323870239</v>
      </c>
      <c r="O38" s="243">
        <f t="shared" si="4"/>
        <v>0.34000000000000008</v>
      </c>
      <c r="P38" s="182" t="s">
        <v>188</v>
      </c>
      <c r="Q38" s="183">
        <f>Q35*(v_th-V_F)/V_F</f>
        <v>0</v>
      </c>
      <c r="R38" s="268">
        <f>D56</f>
        <v>0</v>
      </c>
      <c r="S38" s="268"/>
    </row>
    <row r="39" spans="1:19" x14ac:dyDescent="0.25">
      <c r="A39" s="52"/>
      <c r="G39" s="33"/>
      <c r="J39" s="53">
        <v>35</v>
      </c>
      <c r="K39" s="242">
        <f t="shared" si="0"/>
        <v>19.290046219188735</v>
      </c>
      <c r="L39" s="268">
        <f t="shared" si="3"/>
        <v>0.33667481938672716</v>
      </c>
      <c r="M39" s="243">
        <f t="shared" si="1"/>
        <v>0.94385835636601745</v>
      </c>
      <c r="N39" s="243">
        <f t="shared" si="2"/>
        <v>0.33035042472810611</v>
      </c>
      <c r="O39" s="243">
        <f t="shared" si="4"/>
        <v>0.35000000000000003</v>
      </c>
      <c r="R39" s="268">
        <f>D52</f>
        <v>13.45472156553717</v>
      </c>
      <c r="S39" s="268">
        <f>D52</f>
        <v>13.45472156553717</v>
      </c>
    </row>
    <row r="40" spans="1:19" x14ac:dyDescent="0.25">
      <c r="A40" s="52"/>
      <c r="G40" s="33"/>
      <c r="J40" s="53">
        <v>36</v>
      </c>
      <c r="K40" s="242">
        <f t="shared" si="0"/>
        <v>19.798876354524932</v>
      </c>
      <c r="L40" s="268">
        <f t="shared" si="3"/>
        <v>0.34555558058171215</v>
      </c>
      <c r="M40" s="243">
        <f t="shared" si="1"/>
        <v>0.94088741186872682</v>
      </c>
      <c r="N40" s="243">
        <f t="shared" si="2"/>
        <v>0.33871946827274169</v>
      </c>
      <c r="O40" s="243">
        <f t="shared" si="4"/>
        <v>0.36000000000000004</v>
      </c>
      <c r="R40" s="272">
        <f>Q35+Q37+Q38</f>
        <v>484.36997635933812</v>
      </c>
      <c r="S40" s="55">
        <f>Q35+Q37</f>
        <v>484.36997635933812</v>
      </c>
    </row>
    <row r="41" spans="1:19" ht="18" x14ac:dyDescent="0.35">
      <c r="A41" s="52"/>
      <c r="B41" s="29" t="s">
        <v>114</v>
      </c>
      <c r="C41" t="str">
        <f>CONCATENATE(E12," / ","1-",LambdaA)</f>
        <v>100 / 1-0</v>
      </c>
      <c r="G41" s="33"/>
      <c r="J41" s="53">
        <v>37</v>
      </c>
      <c r="K41" s="242">
        <f t="shared" si="0"/>
        <v>20.304473709960437</v>
      </c>
      <c r="L41" s="268">
        <f t="shared" si="3"/>
        <v>0.3543799191234378</v>
      </c>
      <c r="M41" s="243">
        <f t="shared" si="1"/>
        <v>0.93786184268122785</v>
      </c>
      <c r="N41" s="243">
        <f t="shared" si="2"/>
        <v>0.3470088817920543</v>
      </c>
      <c r="O41" s="243">
        <f t="shared" si="4"/>
        <v>0.37</v>
      </c>
    </row>
    <row r="42" spans="1:19" ht="18" x14ac:dyDescent="0.35">
      <c r="A42" s="52"/>
      <c r="C42" s="182" t="s">
        <v>114</v>
      </c>
      <c r="D42" s="186">
        <f>E12/(1-LambdaA)</f>
        <v>100</v>
      </c>
      <c r="G42" s="41">
        <v>1</v>
      </c>
      <c r="J42" s="53">
        <v>38</v>
      </c>
      <c r="K42" s="242">
        <f t="shared" si="0"/>
        <v>20.80679101271123</v>
      </c>
      <c r="L42" s="268">
        <f t="shared" si="3"/>
        <v>0.36314700994617627</v>
      </c>
      <c r="M42" s="243">
        <f t="shared" si="1"/>
        <v>0.93478358058834898</v>
      </c>
      <c r="N42" s="243">
        <f t="shared" si="2"/>
        <v>0.35521776062357258</v>
      </c>
      <c r="O42" s="243">
        <f t="shared" si="4"/>
        <v>0.37999999999999995</v>
      </c>
    </row>
    <row r="43" spans="1:19" ht="15.75" thickBot="1" x14ac:dyDescent="0.3">
      <c r="A43" s="52"/>
      <c r="G43" s="33"/>
      <c r="H43" s="51">
        <f>SUM(G35:G42)</f>
        <v>4</v>
      </c>
      <c r="J43" s="53">
        <v>39</v>
      </c>
      <c r="K43" s="242">
        <f t="shared" si="0"/>
        <v>21.305783617828769</v>
      </c>
      <c r="L43" s="268">
        <f t="shared" si="3"/>
        <v>0.37185607384858121</v>
      </c>
      <c r="M43" s="243">
        <f t="shared" si="1"/>
        <v>0.9316545551067793</v>
      </c>
      <c r="N43" s="243">
        <f t="shared" si="2"/>
        <v>0.36334527649164389</v>
      </c>
      <c r="O43" s="243">
        <f t="shared" si="4"/>
        <v>0.38999999999999996</v>
      </c>
    </row>
    <row r="44" spans="1:19" x14ac:dyDescent="0.25">
      <c r="A44" s="35" t="s">
        <v>17</v>
      </c>
      <c r="B44" s="36"/>
      <c r="C44" s="36"/>
      <c r="D44" s="36"/>
      <c r="E44" s="36"/>
      <c r="F44" s="36"/>
      <c r="G44" s="32"/>
      <c r="J44" s="53">
        <v>40</v>
      </c>
      <c r="K44" s="242">
        <f t="shared" si="0"/>
        <v>21.801409486351812</v>
      </c>
      <c r="L44" s="268">
        <f t="shared" si="3"/>
        <v>0.38050637711236485</v>
      </c>
      <c r="M44" s="243">
        <f t="shared" si="1"/>
        <v>0.9284766908852593</v>
      </c>
      <c r="N44" s="243">
        <f t="shared" si="2"/>
        <v>0.37139067635410372</v>
      </c>
      <c r="O44" s="243">
        <f t="shared" si="4"/>
        <v>0.4</v>
      </c>
    </row>
    <row r="45" spans="1:19" x14ac:dyDescent="0.25">
      <c r="A45" s="52"/>
      <c r="G45" s="33"/>
      <c r="J45" s="53">
        <v>41</v>
      </c>
      <c r="K45" s="242">
        <f t="shared" si="0"/>
        <v>22.293629159694078</v>
      </c>
      <c r="L45" s="268">
        <f t="shared" si="3"/>
        <v>0.38909723105527838</v>
      </c>
      <c r="M45" s="243">
        <f t="shared" si="1"/>
        <v>0.92525190520839939</v>
      </c>
      <c r="N45" s="243">
        <f t="shared" si="2"/>
        <v>0.37935328113544375</v>
      </c>
      <c r="O45" s="243">
        <f t="shared" si="4"/>
        <v>0.41</v>
      </c>
    </row>
    <row r="46" spans="1:19" x14ac:dyDescent="0.25">
      <c r="A46" s="52"/>
      <c r="F46" s="188"/>
      <c r="G46" s="41">
        <v>1</v>
      </c>
      <c r="J46" s="53">
        <v>42</v>
      </c>
      <c r="K46" s="242">
        <f t="shared" si="0"/>
        <v>22.782405730481688</v>
      </c>
      <c r="L46" s="268">
        <f t="shared" si="3"/>
        <v>0.39762799152212935</v>
      </c>
      <c r="M46" s="243">
        <f t="shared" si="1"/>
        <v>0.92198210560736138</v>
      </c>
      <c r="N46" s="243">
        <f t="shared" si="2"/>
        <v>0.38723248435509178</v>
      </c>
      <c r="O46" s="243">
        <f t="shared" si="4"/>
        <v>0.42</v>
      </c>
    </row>
    <row r="47" spans="1:19" ht="18" x14ac:dyDescent="0.35">
      <c r="A47" s="52"/>
      <c r="B47" s="29" t="s">
        <v>57</v>
      </c>
      <c r="C47" t="str">
        <f>CONCATENATE(ROUND(D32,2)," * ",ROUND(D42,2)," / 3,6",)</f>
        <v>455,31 * 100 / 3,6</v>
      </c>
      <c r="G47" s="63"/>
      <c r="J47" s="53">
        <v>43</v>
      </c>
      <c r="K47" s="242">
        <f t="shared" si="0"/>
        <v>23.267704810056951</v>
      </c>
      <c r="L47" s="268">
        <f t="shared" si="3"/>
        <v>0.40609805831761564</v>
      </c>
      <c r="M47" s="243">
        <f t="shared" si="1"/>
        <v>0.91866918758003568</v>
      </c>
      <c r="N47" s="243">
        <f t="shared" si="2"/>
        <v>0.39502775065941531</v>
      </c>
      <c r="O47" s="243">
        <f t="shared" si="4"/>
        <v>0.43</v>
      </c>
    </row>
    <row r="48" spans="1:19" ht="18" x14ac:dyDescent="0.35">
      <c r="A48" s="52"/>
      <c r="C48" s="182" t="s">
        <v>57</v>
      </c>
      <c r="D48" s="187">
        <f>(D32)*D42/3.6/1000</f>
        <v>12.647438271604939</v>
      </c>
      <c r="G48" s="41">
        <v>1</v>
      </c>
      <c r="J48" s="53">
        <v>44</v>
      </c>
      <c r="K48" s="242">
        <f t="shared" si="0"/>
        <v>23.749494492866763</v>
      </c>
      <c r="L48" s="268">
        <f t="shared" si="3"/>
        <v>0.41450687458478597</v>
      </c>
      <c r="M48" s="243">
        <f t="shared" si="1"/>
        <v>0.91531503242276557</v>
      </c>
      <c r="N48" s="243">
        <f t="shared" si="2"/>
        <v>0.40273861426601687</v>
      </c>
      <c r="O48" s="243">
        <f t="shared" si="4"/>
        <v>0.44000000000000006</v>
      </c>
    </row>
    <row r="49" spans="1:15" x14ac:dyDescent="0.25">
      <c r="A49" s="52"/>
      <c r="G49" s="63"/>
      <c r="J49" s="53">
        <v>45</v>
      </c>
      <c r="K49" s="242">
        <f t="shared" si="0"/>
        <v>24.22774531795417</v>
      </c>
      <c r="L49" s="268">
        <f t="shared" si="3"/>
        <v>0.42285392613294076</v>
      </c>
      <c r="M49" s="243">
        <f t="shared" si="1"/>
        <v>0.91192150517510639</v>
      </c>
      <c r="N49" s="243">
        <f t="shared" si="2"/>
        <v>0.41036467732879789</v>
      </c>
      <c r="O49" s="243">
        <f t="shared" si="4"/>
        <v>0.45</v>
      </c>
    </row>
    <row r="50" spans="1:15" x14ac:dyDescent="0.25">
      <c r="A50" s="52"/>
      <c r="G50" s="41">
        <v>1</v>
      </c>
      <c r="J50" s="53">
        <v>46</v>
      </c>
      <c r="K50" s="242">
        <f t="shared" si="0"/>
        <v>24.702430227771313</v>
      </c>
      <c r="L50" s="268">
        <f t="shared" si="3"/>
        <v>0.43113874071878217</v>
      </c>
      <c r="M50" s="243">
        <f t="shared" si="1"/>
        <v>0.90849045267857464</v>
      </c>
      <c r="N50" s="243">
        <f t="shared" si="2"/>
        <v>0.4179056082321444</v>
      </c>
      <c r="O50" s="243">
        <f t="shared" si="4"/>
        <v>0.46</v>
      </c>
    </row>
    <row r="51" spans="1:15" ht="18" x14ac:dyDescent="0.25">
      <c r="A51" s="52"/>
      <c r="B51" s="39" t="s">
        <v>58</v>
      </c>
      <c r="C51" s="109" t="str">
        <f>CONCATENATE(ROUND(Nebenrechnung_5!D48,2)," / ",eta_Tr)</f>
        <v>12,65 / 0,94</v>
      </c>
      <c r="D51" s="109"/>
      <c r="G51" s="33"/>
      <c r="J51" s="53">
        <v>47</v>
      </c>
      <c r="K51" s="242">
        <f t="shared" si="0"/>
        <v>25.173524524530166</v>
      </c>
      <c r="L51" s="268">
        <f t="shared" si="3"/>
        <v>0.43936088728459144</v>
      </c>
      <c r="M51" s="243">
        <f t="shared" si="1"/>
        <v>0.90502370174983282</v>
      </c>
      <c r="N51" s="243">
        <f t="shared" si="2"/>
        <v>0.42536113982242146</v>
      </c>
      <c r="O51" s="243">
        <f t="shared" si="4"/>
        <v>0.47000000000000003</v>
      </c>
    </row>
    <row r="52" spans="1:15" ht="18" x14ac:dyDescent="0.25">
      <c r="A52" s="52"/>
      <c r="C52" s="196" t="s">
        <v>58</v>
      </c>
      <c r="D52" s="269">
        <f>D48/eta_Tr</f>
        <v>13.45472156553717</v>
      </c>
      <c r="G52" s="41">
        <v>1</v>
      </c>
      <c r="J52" s="53">
        <v>48</v>
      </c>
      <c r="K52" s="242">
        <f t="shared" si="0"/>
        <v>25.641005824305282</v>
      </c>
      <c r="L52" s="268">
        <f t="shared" si="3"/>
        <v>0.44751997515716985</v>
      </c>
      <c r="M52" s="243">
        <f t="shared" si="1"/>
        <v>0.90152305746827355</v>
      </c>
      <c r="N52" s="243">
        <f t="shared" si="2"/>
        <v>0.43273106758477126</v>
      </c>
      <c r="O52" s="243">
        <f t="shared" si="4"/>
        <v>0.48</v>
      </c>
    </row>
    <row r="53" spans="1:15" x14ac:dyDescent="0.25">
      <c r="A53" s="52"/>
      <c r="C53" s="39"/>
      <c r="D53" s="201"/>
      <c r="G53" s="44"/>
      <c r="J53" s="53">
        <v>49</v>
      </c>
      <c r="K53" s="242">
        <f t="shared" si="0"/>
        <v>26.104854009099295</v>
      </c>
      <c r="L53" s="268">
        <f t="shared" si="3"/>
        <v>0.45561565321122449</v>
      </c>
      <c r="M53" s="243">
        <f t="shared" si="1"/>
        <v>0.89799030157751702</v>
      </c>
      <c r="N53" s="243">
        <f t="shared" si="2"/>
        <v>0.44001524777298334</v>
      </c>
      <c r="O53" s="243">
        <f t="shared" si="4"/>
        <v>0.49</v>
      </c>
    </row>
    <row r="54" spans="1:15" x14ac:dyDescent="0.25">
      <c r="A54" s="52"/>
      <c r="C54" s="39"/>
      <c r="D54" s="201"/>
      <c r="G54" s="41">
        <v>1</v>
      </c>
      <c r="J54" s="53">
        <v>50</v>
      </c>
      <c r="K54" s="242">
        <f t="shared" si="0"/>
        <v>26.56505117707799</v>
      </c>
      <c r="L54" s="268">
        <f t="shared" si="3"/>
        <v>0.46364760900080615</v>
      </c>
      <c r="M54" s="243">
        <f t="shared" si="1"/>
        <v>0.89442719099991586</v>
      </c>
      <c r="N54" s="243">
        <f t="shared" si="2"/>
        <v>0.44721359549995798</v>
      </c>
      <c r="O54" s="243">
        <f t="shared" si="4"/>
        <v>0.5</v>
      </c>
    </row>
    <row r="55" spans="1:15" ht="18" x14ac:dyDescent="0.35">
      <c r="A55" s="52"/>
      <c r="B55" s="29" t="s">
        <v>62</v>
      </c>
      <c r="C55" s="109" t="str">
        <f>CONCATENATE(ROUND(D48,2)," * ",LambdaA)</f>
        <v>12,65 * 0</v>
      </c>
      <c r="D55" s="201"/>
      <c r="G55" s="44"/>
      <c r="J55" s="53">
        <v>51</v>
      </c>
      <c r="K55" s="242">
        <f t="shared" si="0"/>
        <v>27.021581591177039</v>
      </c>
      <c r="L55" s="268">
        <f t="shared" si="3"/>
        <v>0.47161556786232767</v>
      </c>
      <c r="M55" s="243">
        <f t="shared" si="1"/>
        <v>0.89083545646276951</v>
      </c>
      <c r="N55" s="243">
        <f t="shared" si="2"/>
        <v>0.45432608279601244</v>
      </c>
      <c r="O55" s="243">
        <f t="shared" si="4"/>
        <v>0.51</v>
      </c>
    </row>
    <row r="56" spans="1:15" ht="18" x14ac:dyDescent="0.25">
      <c r="A56" s="52"/>
      <c r="C56" s="196" t="s">
        <v>62</v>
      </c>
      <c r="D56" s="269">
        <f>D48*LambdaA</f>
        <v>0</v>
      </c>
      <c r="G56" s="41">
        <v>1</v>
      </c>
      <c r="J56" s="53">
        <v>52</v>
      </c>
      <c r="K56" s="242">
        <f t="shared" si="0"/>
        <v>27.474431626277134</v>
      </c>
      <c r="L56" s="268">
        <f t="shared" si="3"/>
        <v>0.47951929199259624</v>
      </c>
      <c r="M56" s="243">
        <f t="shared" si="1"/>
        <v>0.88721680123459512</v>
      </c>
      <c r="N56" s="243">
        <f t="shared" si="2"/>
        <v>0.4613527366419895</v>
      </c>
      <c r="O56" s="243">
        <f t="shared" si="4"/>
        <v>0.52</v>
      </c>
    </row>
    <row r="57" spans="1:15" x14ac:dyDescent="0.25">
      <c r="A57" s="52"/>
      <c r="C57" s="39" t="s">
        <v>186</v>
      </c>
      <c r="D57" s="201">
        <f>D56/V_F*3.6*1000</f>
        <v>0</v>
      </c>
      <c r="G57" s="44"/>
      <c r="J57" s="53">
        <v>53</v>
      </c>
      <c r="K57" s="242">
        <f t="shared" si="0"/>
        <v>27.923589715138384</v>
      </c>
      <c r="L57" s="268">
        <f t="shared" si="3"/>
        <v>0.48735857950519024</v>
      </c>
      <c r="M57" s="243">
        <f t="shared" si="1"/>
        <v>0.88357289996947352</v>
      </c>
      <c r="N57" s="243">
        <f t="shared" si="2"/>
        <v>0.46829363698382098</v>
      </c>
      <c r="O57" s="243">
        <f t="shared" si="4"/>
        <v>0.53</v>
      </c>
    </row>
    <row r="58" spans="1:15" x14ac:dyDescent="0.25">
      <c r="A58" s="52"/>
      <c r="C58" s="39"/>
      <c r="D58" s="201"/>
      <c r="E58">
        <f>1-0.94</f>
        <v>6.0000000000000053E-2</v>
      </c>
      <c r="G58" s="41">
        <v>1</v>
      </c>
      <c r="J58" s="53">
        <v>54</v>
      </c>
      <c r="K58" s="242">
        <f t="shared" si="0"/>
        <v>28.369046293278583</v>
      </c>
      <c r="L58" s="268">
        <f t="shared" si="3"/>
        <v>0.49513326346840408</v>
      </c>
      <c r="M58" s="243">
        <f t="shared" si="1"/>
        <v>0.87990539765719245</v>
      </c>
      <c r="N58" s="243">
        <f t="shared" si="2"/>
        <v>0.47514891473488396</v>
      </c>
      <c r="O58" s="243">
        <f t="shared" si="4"/>
        <v>0.54</v>
      </c>
    </row>
    <row r="59" spans="1:15" ht="18" x14ac:dyDescent="0.35">
      <c r="A59" s="52"/>
      <c r="B59" s="29" t="s">
        <v>125</v>
      </c>
      <c r="C59" s="39" t="str">
        <f>CONCATENATE(ROUND(D52,2)," *(1 - ",eta_Tr," )")</f>
        <v>13,45 *(1 - 0,94 )</v>
      </c>
      <c r="D59" s="201"/>
      <c r="E59">
        <f>43*0.06</f>
        <v>2.58</v>
      </c>
      <c r="G59" s="44"/>
      <c r="J59" s="53">
        <v>55</v>
      </c>
      <c r="K59" s="242">
        <f t="shared" si="0"/>
        <v>28.810793742973065</v>
      </c>
      <c r="L59" s="268">
        <f t="shared" si="3"/>
        <v>0.50284321092786088</v>
      </c>
      <c r="M59" s="243">
        <f t="shared" si="1"/>
        <v>0.876215908676647</v>
      </c>
      <c r="N59" s="243">
        <f t="shared" si="2"/>
        <v>0.48191874977215593</v>
      </c>
      <c r="O59" s="243">
        <f t="shared" si="4"/>
        <v>0.55000000000000004</v>
      </c>
    </row>
    <row r="60" spans="1:15" ht="18" x14ac:dyDescent="0.25">
      <c r="A60" s="52"/>
      <c r="C60" s="196" t="s">
        <v>125</v>
      </c>
      <c r="D60" s="269">
        <f>D52*(1-eta_Tr)</f>
        <v>0.80728329393223097</v>
      </c>
      <c r="G60" s="41">
        <v>1</v>
      </c>
      <c r="J60" s="53">
        <v>56</v>
      </c>
      <c r="K60" s="242">
        <f t="shared" si="0"/>
        <v>29.24882633654698</v>
      </c>
      <c r="L60" s="268">
        <f t="shared" si="3"/>
        <v>0.51048832191677584</v>
      </c>
      <c r="M60" s="243">
        <f t="shared" si="1"/>
        <v>0.87250601594971999</v>
      </c>
      <c r="N60" s="243">
        <f t="shared" si="2"/>
        <v>0.48860336893184331</v>
      </c>
      <c r="O60" s="243">
        <f t="shared" si="4"/>
        <v>0.56000000000000005</v>
      </c>
    </row>
    <row r="61" spans="1:15" ht="15.75" thickBot="1" x14ac:dyDescent="0.3">
      <c r="A61" s="37"/>
      <c r="B61" s="87"/>
      <c r="C61" s="197"/>
      <c r="D61" s="38"/>
      <c r="E61" s="38"/>
      <c r="F61" s="38"/>
      <c r="G61" s="34"/>
      <c r="H61" s="51">
        <f>SUM(G45:G60)</f>
        <v>8</v>
      </c>
      <c r="J61" s="53">
        <v>57</v>
      </c>
      <c r="K61" s="242">
        <f t="shared" si="0"/>
        <v>29.683140179123296</v>
      </c>
      <c r="L61" s="268">
        <f t="shared" si="3"/>
        <v>0.51806852845672091</v>
      </c>
      <c r="M61" s="243">
        <f t="shared" si="1"/>
        <v>0.86877727019266082</v>
      </c>
      <c r="N61" s="243">
        <f t="shared" si="2"/>
        <v>0.49520304400981663</v>
      </c>
      <c r="O61" s="243">
        <f t="shared" si="4"/>
        <v>0.56999999999999995</v>
      </c>
    </row>
    <row r="62" spans="1:15" x14ac:dyDescent="0.25">
      <c r="A62" s="35"/>
      <c r="B62" s="264"/>
      <c r="C62" s="265"/>
      <c r="D62" s="36"/>
      <c r="E62" s="36"/>
      <c r="F62" s="36"/>
      <c r="H62" s="266">
        <f>SUM(G13:G61)</f>
        <v>20</v>
      </c>
      <c r="J62" s="53">
        <v>58</v>
      </c>
      <c r="K62" s="242">
        <f t="shared" si="0"/>
        <v>30.113733150982437</v>
      </c>
      <c r="L62" s="268">
        <f t="shared" si="3"/>
        <v>0.52558379355161022</v>
      </c>
      <c r="M62" s="243">
        <f t="shared" si="1"/>
        <v>0.86503118926180333</v>
      </c>
      <c r="N62" s="243">
        <f t="shared" si="2"/>
        <v>0.50171808977184595</v>
      </c>
      <c r="O62" s="243">
        <f t="shared" si="4"/>
        <v>0.58000000000000007</v>
      </c>
    </row>
    <row r="63" spans="1:15" ht="15.75" thickBot="1" x14ac:dyDescent="0.3">
      <c r="A63" s="52" t="s">
        <v>181</v>
      </c>
      <c r="B63" s="64"/>
      <c r="C63" s="112"/>
      <c r="G63" s="33"/>
      <c r="J63" s="53">
        <v>59</v>
      </c>
      <c r="K63" s="242">
        <f t="shared" si="0"/>
        <v>30.5406048496815</v>
      </c>
      <c r="L63" s="268">
        <f t="shared" si="3"/>
        <v>0.53303411017749003</v>
      </c>
      <c r="M63" s="243">
        <f t="shared" si="1"/>
        <v>0.86126925759031525</v>
      </c>
      <c r="N63" s="243">
        <f t="shared" si="2"/>
        <v>0.50814886197828613</v>
      </c>
      <c r="O63" s="243">
        <f t="shared" si="4"/>
        <v>0.59000000000000019</v>
      </c>
    </row>
    <row r="64" spans="1:15" x14ac:dyDescent="0.25">
      <c r="A64" s="35"/>
      <c r="B64" s="264"/>
      <c r="C64" s="265"/>
      <c r="D64" s="36"/>
      <c r="E64" s="36"/>
      <c r="F64" s="36"/>
      <c r="G64" s="266">
        <v>1</v>
      </c>
      <c r="J64" s="53">
        <v>60</v>
      </c>
      <c r="K64" s="242">
        <f t="shared" si="0"/>
        <v>30.963756532073521</v>
      </c>
      <c r="L64" s="268">
        <f t="shared" si="3"/>
        <v>0.54041950027058405</v>
      </c>
      <c r="M64" s="243">
        <f t="shared" si="1"/>
        <v>0.85749292571254421</v>
      </c>
      <c r="N64" s="243">
        <f t="shared" si="2"/>
        <v>0.51449575542752657</v>
      </c>
      <c r="O64" s="243">
        <f t="shared" si="4"/>
        <v>0.6</v>
      </c>
    </row>
    <row r="65" spans="1:15" ht="18" x14ac:dyDescent="0.25">
      <c r="A65" s="52"/>
      <c r="B65" s="64" t="s">
        <v>62</v>
      </c>
      <c r="C65" s="112" t="str">
        <f>CONCATENATE(ROUND(D32,2),"*( ",ROUND(v_th,2)," - ",V_F," )/3,6")</f>
        <v>455,31*( 100 - 100 )/3,6</v>
      </c>
      <c r="G65" s="33"/>
      <c r="J65" s="53">
        <v>61</v>
      </c>
      <c r="K65" s="242">
        <f t="shared" si="0"/>
        <v>31.383191056359031</v>
      </c>
      <c r="L65" s="268">
        <f t="shared" si="3"/>
        <v>0.54774001371590242</v>
      </c>
      <c r="M65" s="243">
        <f t="shared" si="1"/>
        <v>0.85370360987243077</v>
      </c>
      <c r="N65" s="243">
        <f t="shared" si="2"/>
        <v>0.52075920202218273</v>
      </c>
      <c r="O65" s="243">
        <f t="shared" si="4"/>
        <v>0.61</v>
      </c>
    </row>
    <row r="66" spans="1:15" ht="18" x14ac:dyDescent="0.35">
      <c r="A66" s="52"/>
      <c r="B66" s="64"/>
      <c r="C66" s="182" t="s">
        <v>62</v>
      </c>
      <c r="D66" s="269">
        <f>D32*(v_th-V_F)/1000/3.6</f>
        <v>0</v>
      </c>
      <c r="G66" s="41">
        <v>1</v>
      </c>
      <c r="J66" s="53">
        <v>62</v>
      </c>
      <c r="K66" s="242">
        <f t="shared" si="0"/>
        <v>31.798912824294419</v>
      </c>
      <c r="L66" s="268">
        <f t="shared" si="3"/>
        <v>0.55499572733858671</v>
      </c>
      <c r="M66" s="243">
        <f t="shared" si="1"/>
        <v>0.84990269171237953</v>
      </c>
      <c r="N66" s="243">
        <f t="shared" si="2"/>
        <v>0.5269396688616752</v>
      </c>
      <c r="O66" s="243">
        <f t="shared" si="4"/>
        <v>0.61999999999999988</v>
      </c>
    </row>
    <row r="67" spans="1:15" x14ac:dyDescent="0.25">
      <c r="A67" s="52"/>
      <c r="B67" s="64"/>
      <c r="C67" s="112"/>
      <c r="G67" s="33"/>
      <c r="J67" s="53">
        <v>63</v>
      </c>
      <c r="K67" s="242">
        <f t="shared" si="0"/>
        <v>32.210927723673755</v>
      </c>
      <c r="L67" s="268">
        <f t="shared" si="3"/>
        <v>0.56218674390002932</v>
      </c>
      <c r="M67" s="243">
        <f t="shared" si="1"/>
        <v>0.84609151803892679</v>
      </c>
      <c r="N67" s="243">
        <f t="shared" si="2"/>
        <v>0.53303765636452405</v>
      </c>
      <c r="O67" s="243">
        <f t="shared" si="4"/>
        <v>0.63000000000000023</v>
      </c>
    </row>
    <row r="68" spans="1:15" x14ac:dyDescent="0.25">
      <c r="A68" s="81"/>
      <c r="B68" s="49"/>
      <c r="D68" s="39"/>
      <c r="G68" s="33"/>
      <c r="J68" s="53">
        <v>64</v>
      </c>
      <c r="K68" s="242">
        <f t="shared" si="0"/>
        <v>32.619243071192827</v>
      </c>
      <c r="L68" s="268">
        <f t="shared" si="3"/>
        <v>0.56931319110066192</v>
      </c>
      <c r="M68" s="243">
        <f t="shared" si="1"/>
        <v>0.84227140066151129</v>
      </c>
      <c r="N68" s="243">
        <f t="shared" si="2"/>
        <v>0.53905369642336731</v>
      </c>
      <c r="O68" s="243">
        <f t="shared" si="4"/>
        <v>0.64</v>
      </c>
    </row>
    <row r="69" spans="1:15" ht="18" x14ac:dyDescent="0.35">
      <c r="A69" s="52"/>
      <c r="B69" s="29" t="s">
        <v>94</v>
      </c>
      <c r="C69" t="str">
        <f>CONCATENATE(0.5,"*",roh_Luft,"*",cw,"*",A,"*(",E61,"/",3.6,")^3")</f>
        <v>0,5*1,18*0,3*2,4*(/3,6)^3</v>
      </c>
      <c r="G69" s="33"/>
      <c r="J69" s="53">
        <v>65</v>
      </c>
      <c r="K69" s="242">
        <f t="shared" ref="K69:K79" si="10">180/PI()*ATAN(J69/100)</f>
        <v>33.023867555796649</v>
      </c>
      <c r="L69" s="268">
        <f t="shared" si="3"/>
        <v>0.57637522059118373</v>
      </c>
      <c r="M69" s="243">
        <f t="shared" ref="M69:M79" si="11">COS(K69*PI()/180)</f>
        <v>0.83844361630063713</v>
      </c>
      <c r="N69" s="243">
        <f t="shared" ref="N69:N104" si="12">SIN(K69*PI()/180)</f>
        <v>0.54498835059541417</v>
      </c>
      <c r="O69" s="243">
        <f t="shared" si="4"/>
        <v>0.65</v>
      </c>
    </row>
    <row r="70" spans="1:15" ht="18" x14ac:dyDescent="0.35">
      <c r="A70" s="52"/>
      <c r="C70" s="182" t="s">
        <v>182</v>
      </c>
      <c r="D70" s="187">
        <f>0.5*roh_Luft*cw*A*E12^3/3.6^3/1000</f>
        <v>9.1049382716049365</v>
      </c>
      <c r="G70" s="33"/>
      <c r="J70" s="53">
        <v>66</v>
      </c>
      <c r="K70" s="242">
        <f t="shared" si="10"/>
        <v>33.424811182603804</v>
      </c>
      <c r="L70" s="268">
        <f t="shared" ref="L70:L104" si="13">K70/180*PI()</f>
        <v>0.58337300699385597</v>
      </c>
      <c r="M70" s="243">
        <f t="shared" si="11"/>
        <v>0.83460940656172522</v>
      </c>
      <c r="N70" s="243">
        <f t="shared" si="12"/>
        <v>0.55084220833073871</v>
      </c>
      <c r="O70" s="243">
        <f t="shared" ref="O70:O104" si="14">TAN(K70*PI()/180)</f>
        <v>0.66</v>
      </c>
    </row>
    <row r="71" spans="1:15" x14ac:dyDescent="0.25">
      <c r="A71" s="52"/>
      <c r="C71" s="29"/>
      <c r="D71" s="42"/>
      <c r="G71" s="33"/>
      <c r="J71" s="53">
        <v>67</v>
      </c>
      <c r="K71" s="242">
        <f t="shared" si="10"/>
        <v>33.822085217493957</v>
      </c>
      <c r="L71" s="268">
        <f t="shared" si="13"/>
        <v>0.590306746935372</v>
      </c>
      <c r="M71" s="243">
        <f t="shared" si="11"/>
        <v>0.83076997797096708</v>
      </c>
      <c r="N71" s="243">
        <f t="shared" si="12"/>
        <v>0.55661588524054795</v>
      </c>
      <c r="O71" s="243">
        <f t="shared" si="14"/>
        <v>0.67</v>
      </c>
    </row>
    <row r="72" spans="1:15" x14ac:dyDescent="0.25">
      <c r="A72" s="52"/>
      <c r="C72" s="29"/>
      <c r="D72" s="101"/>
      <c r="G72" s="33"/>
      <c r="J72" s="53">
        <v>68</v>
      </c>
      <c r="K72" s="242">
        <f t="shared" si="10"/>
        <v>34.215702132437407</v>
      </c>
      <c r="L72" s="268">
        <f t="shared" si="13"/>
        <v>0.59717665809267761</v>
      </c>
      <c r="M72" s="243">
        <f t="shared" si="11"/>
        <v>0.82692650206952811</v>
      </c>
      <c r="N72" s="243">
        <f t="shared" si="12"/>
        <v>0.56231002140727915</v>
      </c>
      <c r="O72" s="243">
        <f t="shared" si="14"/>
        <v>0.68</v>
      </c>
    </row>
    <row r="73" spans="1:15" ht="18" x14ac:dyDescent="0.35">
      <c r="A73" s="52"/>
      <c r="B73" s="180" t="s">
        <v>95</v>
      </c>
      <c r="C73" s="66" t="str">
        <f>CONCATENATE(m_F_normal,"*",g_Erdbeschl.,"*",fr,"*",V_F,"/3,6")</f>
        <v>1300*9,81*0,01*100/3,6</v>
      </c>
      <c r="G73" s="33"/>
      <c r="J73" s="53">
        <v>69</v>
      </c>
      <c r="K73" s="242">
        <f t="shared" si="10"/>
        <v>34.605675551638562</v>
      </c>
      <c r="L73" s="268">
        <f t="shared" si="13"/>
        <v>0.60398297825299785</v>
      </c>
      <c r="M73" s="243">
        <f t="shared" si="11"/>
        <v>0.82308011556249761</v>
      </c>
      <c r="N73" s="243">
        <f t="shared" si="12"/>
        <v>0.56792527973812323</v>
      </c>
      <c r="O73" s="243">
        <f t="shared" si="14"/>
        <v>0.69</v>
      </c>
    </row>
    <row r="74" spans="1:15" ht="18" x14ac:dyDescent="0.35">
      <c r="A74" s="52"/>
      <c r="C74" s="182" t="s">
        <v>183</v>
      </c>
      <c r="D74" s="187">
        <f>m_F_normal*g_Erdbeschl.*fr*V_F/3.6/1000</f>
        <v>3.5425</v>
      </c>
      <c r="G74" s="33"/>
      <c r="J74" s="53">
        <v>70</v>
      </c>
      <c r="K74" s="242">
        <f t="shared" si="10"/>
        <v>34.992020198558663</v>
      </c>
      <c r="L74" s="268">
        <f t="shared" si="13"/>
        <v>0.61072596438920868</v>
      </c>
      <c r="M74" s="243">
        <f t="shared" si="11"/>
        <v>0.81923192051904048</v>
      </c>
      <c r="N74" s="243">
        <f t="shared" si="12"/>
        <v>0.57346234436332832</v>
      </c>
      <c r="O74" s="243">
        <f t="shared" si="14"/>
        <v>0.70000000000000007</v>
      </c>
    </row>
    <row r="75" spans="1:15" x14ac:dyDescent="0.25">
      <c r="A75" s="52"/>
      <c r="G75" s="33"/>
      <c r="J75" s="53">
        <v>71</v>
      </c>
      <c r="K75" s="242">
        <f t="shared" si="10"/>
        <v>35.374751843876084</v>
      </c>
      <c r="L75" s="268">
        <f t="shared" si="13"/>
        <v>0.61740589175157279</v>
      </c>
      <c r="M75" s="243">
        <f t="shared" si="11"/>
        <v>0.81538298462027692</v>
      </c>
      <c r="N75" s="243">
        <f t="shared" si="12"/>
        <v>0.57892191908039659</v>
      </c>
      <c r="O75" s="243">
        <f t="shared" si="14"/>
        <v>0.71</v>
      </c>
    </row>
    <row r="76" spans="1:15" x14ac:dyDescent="0.25">
      <c r="A76" s="52"/>
      <c r="G76" s="33"/>
      <c r="J76" s="53">
        <v>76</v>
      </c>
      <c r="K76" s="242">
        <f t="shared" si="10"/>
        <v>37.234833981574667</v>
      </c>
      <c r="L76" s="268">
        <f t="shared" si="13"/>
        <v>0.6498704494119476</v>
      </c>
      <c r="M76" s="243">
        <f t="shared" si="11"/>
        <v>0.79616219412310252</v>
      </c>
      <c r="N76" s="243">
        <f t="shared" si="12"/>
        <v>0.6050832675335579</v>
      </c>
      <c r="O76" s="243">
        <f t="shared" si="14"/>
        <v>0.76</v>
      </c>
    </row>
    <row r="77" spans="1:15" ht="18" x14ac:dyDescent="0.35">
      <c r="A77" s="52"/>
      <c r="B77" s="180" t="s">
        <v>184</v>
      </c>
      <c r="C77" s="66" t="str">
        <f>CONCATENATE(m_F_normal,"*",g_Erdbeschl.,"*",p,"*",V_F,"/3,6")</f>
        <v>1300*9,81*0*100/3,6</v>
      </c>
      <c r="G77" s="33"/>
      <c r="J77" s="53">
        <v>77</v>
      </c>
      <c r="K77" s="242">
        <f t="shared" si="10"/>
        <v>37.596271147211986</v>
      </c>
      <c r="L77" s="268">
        <f t="shared" si="13"/>
        <v>0.65617871799139482</v>
      </c>
      <c r="M77" s="243">
        <f t="shared" si="11"/>
        <v>0.79232935038733465</v>
      </c>
      <c r="N77" s="243">
        <f t="shared" si="12"/>
        <v>0.61009359979824762</v>
      </c>
      <c r="O77" s="243">
        <f t="shared" si="14"/>
        <v>0.76999999999999991</v>
      </c>
    </row>
    <row r="78" spans="1:15" ht="18" x14ac:dyDescent="0.35">
      <c r="A78" s="52"/>
      <c r="C78" s="182" t="s">
        <v>184</v>
      </c>
      <c r="D78" s="187">
        <f>m_F_normal*g_Erdbeschl.*p*V_F/3.6/1000</f>
        <v>0</v>
      </c>
      <c r="G78" s="33"/>
      <c r="J78" s="53">
        <v>78</v>
      </c>
      <c r="K78" s="242">
        <f t="shared" si="10"/>
        <v>37.954230875132517</v>
      </c>
      <c r="L78" s="268">
        <f t="shared" si="13"/>
        <v>0.66242629383315121</v>
      </c>
      <c r="M78" s="243">
        <f t="shared" si="11"/>
        <v>0.78850230601779103</v>
      </c>
      <c r="N78" s="243">
        <f t="shared" si="12"/>
        <v>0.61503179869387714</v>
      </c>
      <c r="O78" s="243">
        <f t="shared" si="14"/>
        <v>0.78000000000000014</v>
      </c>
    </row>
    <row r="79" spans="1:15" x14ac:dyDescent="0.25">
      <c r="A79" s="52"/>
      <c r="G79" s="33"/>
      <c r="J79" s="53">
        <v>79</v>
      </c>
      <c r="K79" s="242">
        <f t="shared" si="10"/>
        <v>38.308735567447719</v>
      </c>
      <c r="L79" s="268">
        <f t="shared" si="13"/>
        <v>0.66861356792782101</v>
      </c>
      <c r="M79" s="243">
        <f t="shared" si="11"/>
        <v>0.78468186716534205</v>
      </c>
      <c r="N79" s="243">
        <f t="shared" si="12"/>
        <v>0.61989867506062035</v>
      </c>
      <c r="O79" s="243">
        <f t="shared" si="14"/>
        <v>0.79000000000000015</v>
      </c>
    </row>
    <row r="80" spans="1:15" x14ac:dyDescent="0.25">
      <c r="A80" s="52"/>
      <c r="G80" s="41">
        <v>1</v>
      </c>
      <c r="J80" s="53">
        <v>72</v>
      </c>
      <c r="K80" s="242">
        <f>180/PI()*ATAN(J80/100)</f>
        <v>35.753887254436748</v>
      </c>
      <c r="L80" s="268">
        <f t="shared" si="13"/>
        <v>0.62402305297675686</v>
      </c>
      <c r="M80" s="243">
        <f>COS(K80*PI()/180)</f>
        <v>0.81153434145149439</v>
      </c>
      <c r="N80" s="243">
        <f t="shared" si="12"/>
        <v>0.58430472584507587</v>
      </c>
      <c r="O80" s="243">
        <f t="shared" si="14"/>
        <v>0.71999999999999986</v>
      </c>
    </row>
    <row r="81" spans="1:15" ht="18" x14ac:dyDescent="0.35">
      <c r="A81" s="52"/>
      <c r="B81" s="29" t="s">
        <v>57</v>
      </c>
      <c r="C81" t="str" cm="1">
        <f t="array" ref="C81">CONCATENATE(ROUND(P_S,2)," + ",ROUND(D70,2),"+",D74,"+",D78)</f>
        <v>0 + 9,1+3,5425+0</v>
      </c>
      <c r="G81" s="33"/>
      <c r="J81" s="53">
        <v>73</v>
      </c>
      <c r="K81" s="242">
        <f>180/PI()*ATAN(J81/100)</f>
        <v>36.12944414324086</v>
      </c>
      <c r="L81" s="268">
        <f t="shared" si="13"/>
        <v>0.63057775721493481</v>
      </c>
      <c r="M81" s="243">
        <f>COS(K81*PI()/180)</f>
        <v>0.80768699083538575</v>
      </c>
      <c r="N81" s="243">
        <f t="shared" si="12"/>
        <v>0.58961150330983159</v>
      </c>
      <c r="O81" s="243">
        <f t="shared" si="14"/>
        <v>0.73</v>
      </c>
    </row>
    <row r="82" spans="1:15" ht="18" x14ac:dyDescent="0.35">
      <c r="A82" s="52"/>
      <c r="C82" s="182" t="s">
        <v>57</v>
      </c>
      <c r="D82" s="183">
        <f>P_S+D70+D74+D78</f>
        <v>12.647438271604937</v>
      </c>
      <c r="G82" s="41">
        <v>1</v>
      </c>
      <c r="J82" s="53">
        <v>74</v>
      </c>
      <c r="K82" s="242">
        <f>180/PI()*ATAN(J82/100)</f>
        <v>36.501441120506314</v>
      </c>
      <c r="L82" s="268">
        <f t="shared" si="13"/>
        <v>0.63707032927568341</v>
      </c>
      <c r="M82" s="243">
        <f>COS(K82*PI()/180)</f>
        <v>0.8038418992031009</v>
      </c>
      <c r="N82" s="243">
        <f t="shared" si="12"/>
        <v>0.59484300541029456</v>
      </c>
      <c r="O82" s="243">
        <f t="shared" si="14"/>
        <v>0.73999999999999988</v>
      </c>
    </row>
    <row r="83" spans="1:15" x14ac:dyDescent="0.25">
      <c r="A83" s="52"/>
      <c r="G83" s="33"/>
      <c r="J83" s="53">
        <v>75</v>
      </c>
      <c r="K83" s="242">
        <f>180/PI()*ATAN(J83/100)</f>
        <v>36.86989764584402</v>
      </c>
      <c r="L83" s="268">
        <f t="shared" si="13"/>
        <v>0.64350110879328437</v>
      </c>
      <c r="M83" s="243">
        <f>COS(K83*PI()/180)</f>
        <v>0.8</v>
      </c>
      <c r="N83" s="243">
        <f t="shared" si="12"/>
        <v>0.6</v>
      </c>
      <c r="O83" s="243">
        <f t="shared" si="14"/>
        <v>0.75</v>
      </c>
    </row>
    <row r="84" spans="1:15" x14ac:dyDescent="0.25">
      <c r="A84" s="52"/>
      <c r="G84" s="41">
        <v>1</v>
      </c>
      <c r="J84" s="53">
        <v>80</v>
      </c>
      <c r="K84" s="242">
        <f t="shared" ref="K84:K104" si="15">180/PI()*ATAN(J84/100)</f>
        <v>38.659808254090095</v>
      </c>
      <c r="L84" s="268">
        <f t="shared" si="13"/>
        <v>0.67474094222355263</v>
      </c>
      <c r="M84" s="243">
        <f t="shared" ref="M84:M104" si="16">COS(K84*PI()/180)</f>
        <v>0.78086880944303039</v>
      </c>
      <c r="N84" s="243">
        <f t="shared" si="12"/>
        <v>0.62469504755442429</v>
      </c>
      <c r="O84" s="243">
        <f t="shared" si="14"/>
        <v>0.79999999999999993</v>
      </c>
    </row>
    <row r="85" spans="1:15" ht="18" x14ac:dyDescent="0.35">
      <c r="A85" s="52"/>
      <c r="B85" s="29" t="s">
        <v>58</v>
      </c>
      <c r="C85" t="str">
        <f>CONCATENATE(ROUND(D82,2),"/",eta_Tr)</f>
        <v>12,65/0,94</v>
      </c>
      <c r="G85" s="44"/>
      <c r="J85" s="53">
        <v>81</v>
      </c>
      <c r="K85" s="242">
        <f t="shared" si="15"/>
        <v>39.007472552121044</v>
      </c>
      <c r="L85" s="268">
        <f t="shared" si="13"/>
        <v>0.68080882891582761</v>
      </c>
      <c r="M85" s="243">
        <f t="shared" si="16"/>
        <v>0.77706387848082314</v>
      </c>
      <c r="N85" s="243">
        <f t="shared" si="12"/>
        <v>0.62942174156946673</v>
      </c>
      <c r="O85" s="243">
        <f t="shared" si="14"/>
        <v>0.81</v>
      </c>
    </row>
    <row r="86" spans="1:15" ht="18" x14ac:dyDescent="0.25">
      <c r="A86" s="52"/>
      <c r="C86" s="196" t="s">
        <v>58</v>
      </c>
      <c r="D86" s="187">
        <f>D82/eta_Tr</f>
        <v>13.454721565537168</v>
      </c>
      <c r="G86" s="41">
        <v>1</v>
      </c>
      <c r="J86" s="53">
        <v>82</v>
      </c>
      <c r="K86" s="242">
        <f t="shared" si="15"/>
        <v>39.351752626264734</v>
      </c>
      <c r="L86" s="268">
        <f t="shared" si="13"/>
        <v>0.68681764975864523</v>
      </c>
      <c r="M86" s="243">
        <f t="shared" si="16"/>
        <v>0.77326779049639849</v>
      </c>
      <c r="N86" s="243">
        <f t="shared" si="12"/>
        <v>0.63407958820704668</v>
      </c>
      <c r="O86" s="243">
        <f t="shared" si="14"/>
        <v>0.82</v>
      </c>
    </row>
    <row r="87" spans="1:15" x14ac:dyDescent="0.25">
      <c r="A87" s="52"/>
      <c r="G87" s="33"/>
      <c r="J87" s="53">
        <v>83</v>
      </c>
      <c r="K87" s="242">
        <f t="shared" si="15"/>
        <v>39.692673150668817</v>
      </c>
      <c r="L87" s="268">
        <f t="shared" si="13"/>
        <v>0.69276783539712206</v>
      </c>
      <c r="M87" s="243">
        <f t="shared" si="16"/>
        <v>0.76948123287976278</v>
      </c>
      <c r="N87" s="243">
        <f t="shared" si="12"/>
        <v>0.63866942329020293</v>
      </c>
      <c r="O87" s="243">
        <f t="shared" si="14"/>
        <v>0.82999999999999974</v>
      </c>
    </row>
    <row r="88" spans="1:15" x14ac:dyDescent="0.25">
      <c r="A88" s="52"/>
      <c r="C88" s="39"/>
      <c r="D88" s="201"/>
      <c r="G88" s="41">
        <v>1</v>
      </c>
      <c r="J88" s="53">
        <v>84</v>
      </c>
      <c r="K88" s="242">
        <f t="shared" si="15"/>
        <v>40.030259271889697</v>
      </c>
      <c r="L88" s="268">
        <f t="shared" si="13"/>
        <v>0.69865982472146315</v>
      </c>
      <c r="M88" s="243">
        <f t="shared" si="16"/>
        <v>0.76570486478961108</v>
      </c>
      <c r="N88" s="243">
        <f t="shared" si="12"/>
        <v>0.6431920864232733</v>
      </c>
      <c r="O88" s="243">
        <f t="shared" si="14"/>
        <v>0.84</v>
      </c>
    </row>
    <row r="89" spans="1:15" ht="18" x14ac:dyDescent="0.35">
      <c r="A89" s="52"/>
      <c r="B89" s="29" t="s">
        <v>125</v>
      </c>
      <c r="C89" s="39" t="str">
        <f>CONCATENATE(ROUND(D86,2)," *(1 - ",eta_Tr," )")</f>
        <v>13,45 *(1 - 0,94 )</v>
      </c>
      <c r="D89" s="201"/>
      <c r="G89" s="44"/>
      <c r="J89" s="53">
        <v>85</v>
      </c>
      <c r="K89" s="242">
        <f t="shared" si="15"/>
        <v>40.364536573097361</v>
      </c>
      <c r="L89" s="268">
        <f t="shared" si="13"/>
        <v>0.70449406424221772</v>
      </c>
      <c r="M89" s="243">
        <f t="shared" si="16"/>
        <v>0.76193931775945933</v>
      </c>
      <c r="N89" s="243">
        <f t="shared" si="12"/>
        <v>0.64764842009554047</v>
      </c>
      <c r="O89" s="243">
        <f t="shared" si="14"/>
        <v>0.85</v>
      </c>
    </row>
    <row r="90" spans="1:15" ht="18" x14ac:dyDescent="0.25">
      <c r="A90" s="52"/>
      <c r="C90" s="196" t="s">
        <v>125</v>
      </c>
      <c r="D90" s="187">
        <f>E78*(1-eta_Tr)</f>
        <v>0</v>
      </c>
      <c r="G90" s="41">
        <v>1</v>
      </c>
      <c r="J90" s="53">
        <v>86</v>
      </c>
      <c r="K90" s="242">
        <f t="shared" si="15"/>
        <v>40.695531039492018</v>
      </c>
      <c r="L90" s="268">
        <f t="shared" si="13"/>
        <v>0.71027100748668626</v>
      </c>
      <c r="M90" s="243">
        <f t="shared" si="16"/>
        <v>0.75818519631168302</v>
      </c>
      <c r="N90" s="243">
        <f t="shared" si="12"/>
        <v>0.65203926882804741</v>
      </c>
      <c r="O90" s="243">
        <f t="shared" si="14"/>
        <v>0.8600000000000001</v>
      </c>
    </row>
    <row r="91" spans="1:15" x14ac:dyDescent="0.25">
      <c r="A91" s="52"/>
      <c r="G91" s="33"/>
      <c r="H91" s="51">
        <f>SUM(G64:G86)</f>
        <v>6</v>
      </c>
      <c r="J91" s="53">
        <v>87</v>
      </c>
      <c r="K91" s="242">
        <f t="shared" si="15"/>
        <v>41.023269024922435</v>
      </c>
      <c r="L91" s="268">
        <f t="shared" si="13"/>
        <v>0.71599111441630015</v>
      </c>
      <c r="M91" s="243">
        <f t="shared" si="16"/>
        <v>0.75444307857771464</v>
      </c>
      <c r="N91" s="243">
        <f t="shared" si="12"/>
        <v>0.65636547836261183</v>
      </c>
      <c r="O91" s="243">
        <f t="shared" si="14"/>
        <v>0.87000000000000011</v>
      </c>
    </row>
    <row r="92" spans="1:15" ht="15.75" thickBot="1" x14ac:dyDescent="0.3">
      <c r="A92" s="37"/>
      <c r="B92" s="38"/>
      <c r="C92" s="38"/>
      <c r="D92" s="38"/>
      <c r="E92" s="38"/>
      <c r="F92" s="38"/>
      <c r="G92" s="34"/>
      <c r="J92" s="53">
        <v>88</v>
      </c>
      <c r="K92" s="242">
        <f t="shared" si="15"/>
        <v>41.347777219693668</v>
      </c>
      <c r="L92" s="268">
        <f t="shared" si="13"/>
        <v>0.72165485086476122</v>
      </c>
      <c r="M92" s="243">
        <f t="shared" si="16"/>
        <v>0.75071351692275523</v>
      </c>
      <c r="N92" s="243">
        <f t="shared" si="12"/>
        <v>0.66062789489202478</v>
      </c>
      <c r="O92" s="243">
        <f t="shared" si="14"/>
        <v>0.88000000000000012</v>
      </c>
    </row>
    <row r="93" spans="1:15" x14ac:dyDescent="0.25">
      <c r="J93" s="53">
        <v>89</v>
      </c>
      <c r="K93" s="242">
        <f t="shared" si="15"/>
        <v>41.669082619549954</v>
      </c>
      <c r="L93" s="268">
        <f t="shared" si="13"/>
        <v>0.72726268799669036</v>
      </c>
      <c r="M93" s="243">
        <f t="shared" si="16"/>
        <v>0.74699703857346056</v>
      </c>
      <c r="N93" s="243">
        <f t="shared" si="12"/>
        <v>0.66482736433038003</v>
      </c>
      <c r="O93" s="243">
        <f t="shared" si="14"/>
        <v>0.89000000000000012</v>
      </c>
    </row>
    <row r="94" spans="1:15" x14ac:dyDescent="0.25">
      <c r="J94" s="53">
        <v>90</v>
      </c>
      <c r="K94" s="242">
        <f t="shared" si="15"/>
        <v>41.987212495816657</v>
      </c>
      <c r="L94" s="268">
        <f t="shared" si="13"/>
        <v>0.73281510178650655</v>
      </c>
      <c r="M94" s="243">
        <f t="shared" si="16"/>
        <v>0.74329414624716639</v>
      </c>
      <c r="N94" s="243">
        <f t="shared" si="12"/>
        <v>0.66896473162244963</v>
      </c>
      <c r="O94" s="243">
        <f t="shared" si="14"/>
        <v>0.89999999999999969</v>
      </c>
    </row>
    <row r="95" spans="1:15" x14ac:dyDescent="0.25">
      <c r="J95" s="53">
        <v>91</v>
      </c>
      <c r="K95" s="242">
        <f t="shared" si="15"/>
        <v>42.3021943666837</v>
      </c>
      <c r="L95" s="268">
        <f t="shared" si="13"/>
        <v>0.73831257251722804</v>
      </c>
      <c r="M95" s="243">
        <f t="shared" si="16"/>
        <v>0.73960531878131308</v>
      </c>
      <c r="N95" s="243">
        <f t="shared" si="12"/>
        <v>0.67304084009099496</v>
      </c>
      <c r="O95" s="243">
        <f t="shared" si="14"/>
        <v>0.91</v>
      </c>
    </row>
    <row r="96" spans="1:15" x14ac:dyDescent="0.25">
      <c r="J96" s="53">
        <v>92</v>
      </c>
      <c r="K96" s="242">
        <f t="shared" si="15"/>
        <v>42.614055969611186</v>
      </c>
      <c r="L96" s="268">
        <f t="shared" si="13"/>
        <v>0.74375558429885991</v>
      </c>
      <c r="M96" s="243">
        <f t="shared" si="16"/>
        <v>0.73593101176182973</v>
      </c>
      <c r="N96" s="243">
        <f t="shared" si="12"/>
        <v>0.67705653082088324</v>
      </c>
      <c r="O96" s="243">
        <f t="shared" si="14"/>
        <v>0.91999999999999982</v>
      </c>
    </row>
    <row r="97" spans="10:15" x14ac:dyDescent="0.25">
      <c r="J97" s="53">
        <v>93</v>
      </c>
      <c r="K97" s="242">
        <f t="shared" si="15"/>
        <v>42.922825234837191</v>
      </c>
      <c r="L97" s="268">
        <f t="shared" si="13"/>
        <v>0.74914462460601727</v>
      </c>
      <c r="M97" s="243">
        <f t="shared" si="16"/>
        <v>0.73227165814932205</v>
      </c>
      <c r="N97" s="243">
        <f t="shared" si="12"/>
        <v>0.68101264207886947</v>
      </c>
      <c r="O97" s="243">
        <f t="shared" si="14"/>
        <v>0.92999999999999994</v>
      </c>
    </row>
    <row r="98" spans="10:15" x14ac:dyDescent="0.25">
      <c r="J98" s="53">
        <v>94</v>
      </c>
      <c r="K98" s="242">
        <f t="shared" si="15"/>
        <v>43.228530259965922</v>
      </c>
      <c r="L98" s="268">
        <f t="shared" si="13"/>
        <v>0.75448018383440563</v>
      </c>
      <c r="M98" s="243">
        <f t="shared" si="16"/>
        <v>0.72862766890200736</v>
      </c>
      <c r="N98" s="243">
        <f t="shared" si="12"/>
        <v>0.68491000876788677</v>
      </c>
      <c r="O98" s="243">
        <f t="shared" si="14"/>
        <v>0.93999999999999972</v>
      </c>
    </row>
    <row r="99" spans="10:15" x14ac:dyDescent="0.25">
      <c r="J99" s="53">
        <v>95</v>
      </c>
      <c r="K99" s="242">
        <f t="shared" si="15"/>
        <v>43.531199285614179</v>
      </c>
      <c r="L99" s="268">
        <f t="shared" si="13"/>
        <v>0.75976275487577083</v>
      </c>
      <c r="M99" s="243">
        <f t="shared" si="16"/>
        <v>0.72499943359441377</v>
      </c>
      <c r="N99" s="243">
        <f t="shared" si="12"/>
        <v>0.68874946191469311</v>
      </c>
      <c r="O99" s="243">
        <f t="shared" si="14"/>
        <v>0.95</v>
      </c>
    </row>
    <row r="100" spans="10:15" x14ac:dyDescent="0.25">
      <c r="J100" s="53">
        <v>96</v>
      </c>
      <c r="K100" s="242">
        <f t="shared" si="15"/>
        <v>43.830860672092584</v>
      </c>
      <c r="L100" s="268">
        <f t="shared" si="13"/>
        <v>0.76499283271091023</v>
      </c>
      <c r="M100" s="243">
        <f t="shared" si="16"/>
        <v>0.7213873210309516</v>
      </c>
      <c r="N100" s="243">
        <f t="shared" si="12"/>
        <v>0.69253182818971348</v>
      </c>
      <c r="O100" s="243">
        <f t="shared" si="14"/>
        <v>0.96</v>
      </c>
    </row>
    <row r="101" spans="10:15" x14ac:dyDescent="0.25">
      <c r="J101" s="53">
        <v>97</v>
      </c>
      <c r="K101" s="242">
        <f t="shared" si="15"/>
        <v>44.127542877097966</v>
      </c>
      <c r="L101" s="268">
        <f t="shared" si="13"/>
        <v>0.770170914020331</v>
      </c>
      <c r="M101" s="243">
        <f t="shared" si="16"/>
        <v>0.71779167985353431</v>
      </c>
      <c r="N101" s="243">
        <f t="shared" si="12"/>
        <v>0.69625792945792819</v>
      </c>
      <c r="O101" s="243">
        <f t="shared" si="14"/>
        <v>0.96999999999999975</v>
      </c>
    </row>
    <row r="102" spans="10:15" x14ac:dyDescent="0.25">
      <c r="J102" s="53">
        <v>98</v>
      </c>
      <c r="K102" s="242">
        <f t="shared" si="15"/>
        <v>44.421274434392238</v>
      </c>
      <c r="L102" s="268">
        <f t="shared" si="13"/>
        <v>0.77529749681212645</v>
      </c>
      <c r="M102" s="243">
        <f t="shared" si="16"/>
        <v>0.71421283914250722</v>
      </c>
      <c r="N102" s="243">
        <f t="shared" si="12"/>
        <v>0.69992858235965694</v>
      </c>
      <c r="O102" s="243">
        <f t="shared" si="14"/>
        <v>0.97999999999999987</v>
      </c>
    </row>
    <row r="103" spans="10:15" x14ac:dyDescent="0.25">
      <c r="J103" s="53">
        <v>99</v>
      </c>
      <c r="K103" s="242">
        <f t="shared" si="15"/>
        <v>44.712083933442905</v>
      </c>
      <c r="L103" s="268">
        <f t="shared" si="13"/>
        <v>0.78037308006663575</v>
      </c>
      <c r="M103" s="243">
        <f t="shared" si="16"/>
        <v>0.71065110901020734</v>
      </c>
      <c r="N103" s="243">
        <f t="shared" si="12"/>
        <v>0.70354459792010504</v>
      </c>
      <c r="O103" s="243">
        <f t="shared" si="14"/>
        <v>0.98999999999999966</v>
      </c>
    </row>
    <row r="104" spans="10:15" x14ac:dyDescent="0.25">
      <c r="J104" s="53">
        <v>100</v>
      </c>
      <c r="K104" s="242">
        <f t="shared" si="15"/>
        <v>45</v>
      </c>
      <c r="L104" s="268">
        <f t="shared" si="13"/>
        <v>0.78539816339744828</v>
      </c>
      <c r="M104" s="243">
        <f t="shared" si="16"/>
        <v>0.70710678118654757</v>
      </c>
      <c r="N104" s="243">
        <f t="shared" si="12"/>
        <v>0.70710678118654746</v>
      </c>
      <c r="O104" s="243">
        <f t="shared" si="14"/>
        <v>0.99999999999999989</v>
      </c>
    </row>
  </sheetData>
  <mergeCells count="2">
    <mergeCell ref="A1:G2"/>
    <mergeCell ref="A3:G11"/>
  </mergeCells>
  <pageMargins left="0.7" right="0.7" top="0.75" bottom="0.75" header="0.3" footer="0.3"/>
  <pageSetup paperSize="9" scale="92" orientation="portrait" r:id="rId1"/>
  <headerFooter>
    <oddHeader>&amp;L&amp;"Calibri"&amp;10&amp;K000000Internal&amp;1#&amp;R&amp;"Calibri"&amp;10&amp;K000000&amp;1#_x000D_&amp;"Arial"&amp;11&amp;K000000&amp;"Arial"&amp;11&amp;K000000&amp;"Arial"&amp;11&amp;K000000&amp;"Arial"&amp;11&amp;K000000&amp;"Arial"&amp;11&amp;K000000&amp;"Arial"&amp;11&amp;K000000&amp;"Arial"&amp;11&amp;K000000&amp;"Arial"&amp;11&amp;K000000&amp;"Arial"&amp;11&amp;K000000&amp;G</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423C-2103-4B38-A789-C3CAE7095D5B}">
  <dimension ref="A1:S51"/>
  <sheetViews>
    <sheetView topLeftCell="A23" workbookViewId="0">
      <selection activeCell="M37" sqref="M37"/>
    </sheetView>
  </sheetViews>
  <sheetFormatPr baseColWidth="10" defaultRowHeight="15" x14ac:dyDescent="0.25"/>
  <sheetData>
    <row r="1" spans="1:4" x14ac:dyDescent="0.25">
      <c r="B1" s="53" t="s">
        <v>126</v>
      </c>
      <c r="C1" s="53" t="s">
        <v>127</v>
      </c>
      <c r="D1" s="53" t="s">
        <v>128</v>
      </c>
    </row>
    <row r="2" spans="1:4" x14ac:dyDescent="0.25">
      <c r="B2" s="53">
        <v>1000</v>
      </c>
      <c r="C2" s="53">
        <v>3</v>
      </c>
      <c r="D2" s="209">
        <f>C2/B2*9554</f>
        <v>28.661999999999999</v>
      </c>
    </row>
    <row r="3" spans="1:4" x14ac:dyDescent="0.25">
      <c r="B3" s="53">
        <v>1200</v>
      </c>
      <c r="C3" s="53">
        <v>10</v>
      </c>
      <c r="D3" s="209">
        <f t="shared" ref="D3:D26" si="0">C3/B3*9554</f>
        <v>79.61666666666666</v>
      </c>
    </row>
    <row r="4" spans="1:4" x14ac:dyDescent="0.25">
      <c r="A4" s="53"/>
      <c r="B4" s="53">
        <v>1400</v>
      </c>
      <c r="C4" s="53">
        <v>17</v>
      </c>
      <c r="D4" s="209">
        <f t="shared" si="0"/>
        <v>116.01285714285714</v>
      </c>
    </row>
    <row r="5" spans="1:4" x14ac:dyDescent="0.25">
      <c r="A5" s="53"/>
      <c r="B5" s="53">
        <v>1600</v>
      </c>
      <c r="C5" s="53">
        <v>24</v>
      </c>
      <c r="D5" s="209">
        <f t="shared" si="0"/>
        <v>143.31</v>
      </c>
    </row>
    <row r="6" spans="1:4" x14ac:dyDescent="0.25">
      <c r="A6" s="53"/>
      <c r="B6" s="53">
        <v>1800</v>
      </c>
      <c r="C6" s="53">
        <v>30</v>
      </c>
      <c r="D6" s="209">
        <f t="shared" si="0"/>
        <v>159.23333333333332</v>
      </c>
    </row>
    <row r="7" spans="1:4" x14ac:dyDescent="0.25">
      <c r="A7" s="53"/>
      <c r="B7" s="53">
        <v>2000</v>
      </c>
      <c r="C7" s="53">
        <v>36</v>
      </c>
      <c r="D7" s="209">
        <f t="shared" si="0"/>
        <v>171.97199999999998</v>
      </c>
    </row>
    <row r="8" spans="1:4" x14ac:dyDescent="0.25">
      <c r="A8" s="53"/>
      <c r="B8" s="53">
        <v>2200</v>
      </c>
      <c r="C8" s="53">
        <v>42</v>
      </c>
      <c r="D8" s="209">
        <f t="shared" si="0"/>
        <v>182.39454545454547</v>
      </c>
    </row>
    <row r="9" spans="1:4" x14ac:dyDescent="0.25">
      <c r="A9" s="53"/>
      <c r="B9" s="53">
        <v>2400</v>
      </c>
      <c r="C9" s="53">
        <v>48</v>
      </c>
      <c r="D9" s="209">
        <f t="shared" si="0"/>
        <v>191.08</v>
      </c>
    </row>
    <row r="10" spans="1:4" x14ac:dyDescent="0.25">
      <c r="A10" s="53"/>
      <c r="B10" s="53">
        <v>2600</v>
      </c>
      <c r="C10" s="53">
        <v>54</v>
      </c>
      <c r="D10" s="209">
        <f t="shared" si="0"/>
        <v>198.42923076923077</v>
      </c>
    </row>
    <row r="11" spans="1:4" x14ac:dyDescent="0.25">
      <c r="A11" s="53"/>
      <c r="B11" s="53">
        <v>2800</v>
      </c>
      <c r="C11" s="53">
        <v>60</v>
      </c>
      <c r="D11" s="209">
        <f t="shared" si="0"/>
        <v>204.72857142857143</v>
      </c>
    </row>
    <row r="12" spans="1:4" x14ac:dyDescent="0.25">
      <c r="A12" s="53"/>
      <c r="B12" s="53">
        <v>3000</v>
      </c>
      <c r="C12" s="53">
        <v>66</v>
      </c>
      <c r="D12" s="209">
        <f t="shared" si="0"/>
        <v>210.18799999999999</v>
      </c>
    </row>
    <row r="13" spans="1:4" x14ac:dyDescent="0.25">
      <c r="A13" s="53"/>
      <c r="B13" s="53">
        <v>3200</v>
      </c>
      <c r="C13" s="53">
        <v>72</v>
      </c>
      <c r="D13" s="209">
        <f t="shared" si="0"/>
        <v>214.965</v>
      </c>
    </row>
    <row r="14" spans="1:4" x14ac:dyDescent="0.25">
      <c r="A14" s="53"/>
      <c r="B14" s="53">
        <v>3400</v>
      </c>
      <c r="C14" s="53">
        <v>78</v>
      </c>
      <c r="D14" s="209">
        <f t="shared" si="0"/>
        <v>219.18</v>
      </c>
    </row>
    <row r="15" spans="1:4" x14ac:dyDescent="0.25">
      <c r="A15" s="53"/>
      <c r="B15" s="53">
        <v>3600</v>
      </c>
      <c r="C15" s="53">
        <v>83</v>
      </c>
      <c r="D15" s="210">
        <f t="shared" si="0"/>
        <v>220.27277777777778</v>
      </c>
    </row>
    <row r="16" spans="1:4" x14ac:dyDescent="0.25">
      <c r="A16" s="53"/>
      <c r="B16" s="53">
        <v>3800</v>
      </c>
      <c r="C16" s="53">
        <v>87</v>
      </c>
      <c r="D16" s="209">
        <f t="shared" si="0"/>
        <v>218.73631578947368</v>
      </c>
    </row>
    <row r="17" spans="1:19" x14ac:dyDescent="0.25">
      <c r="A17" s="53"/>
      <c r="B17" s="53">
        <v>4000</v>
      </c>
      <c r="C17" s="53">
        <v>91</v>
      </c>
      <c r="D17" s="209">
        <f t="shared" si="0"/>
        <v>217.3535</v>
      </c>
    </row>
    <row r="18" spans="1:19" x14ac:dyDescent="0.25">
      <c r="A18" s="53"/>
      <c r="B18" s="53">
        <v>4200</v>
      </c>
      <c r="C18" s="53">
        <v>94</v>
      </c>
      <c r="D18" s="209">
        <f t="shared" si="0"/>
        <v>213.82761904761904</v>
      </c>
    </row>
    <row r="19" spans="1:19" x14ac:dyDescent="0.25">
      <c r="A19" s="53"/>
      <c r="B19" s="53">
        <v>4400</v>
      </c>
      <c r="C19" s="53">
        <v>97</v>
      </c>
      <c r="D19" s="209">
        <f t="shared" si="0"/>
        <v>210.62227272727273</v>
      </c>
    </row>
    <row r="20" spans="1:19" x14ac:dyDescent="0.25">
      <c r="A20" s="53"/>
      <c r="B20" s="53">
        <v>4600</v>
      </c>
      <c r="C20" s="53">
        <v>99</v>
      </c>
      <c r="D20" s="209">
        <f t="shared" si="0"/>
        <v>205.61869565217393</v>
      </c>
    </row>
    <row r="21" spans="1:19" x14ac:dyDescent="0.25">
      <c r="A21" s="53"/>
      <c r="B21" s="53">
        <v>4800</v>
      </c>
      <c r="C21" s="211">
        <v>100</v>
      </c>
      <c r="D21" s="209">
        <f t="shared" si="0"/>
        <v>199.04166666666666</v>
      </c>
    </row>
    <row r="22" spans="1:19" x14ac:dyDescent="0.25">
      <c r="A22" s="53"/>
      <c r="B22" s="53">
        <v>5000</v>
      </c>
      <c r="C22" s="53">
        <v>99</v>
      </c>
      <c r="D22" s="209">
        <f t="shared" si="0"/>
        <v>189.16920000000002</v>
      </c>
    </row>
    <row r="23" spans="1:19" x14ac:dyDescent="0.25">
      <c r="A23" s="53"/>
      <c r="B23" s="53">
        <v>5200</v>
      </c>
      <c r="C23" s="53">
        <v>98</v>
      </c>
      <c r="D23" s="209">
        <f t="shared" si="0"/>
        <v>180.05615384615385</v>
      </c>
    </row>
    <row r="24" spans="1:19" x14ac:dyDescent="0.25">
      <c r="A24" s="53"/>
      <c r="B24" s="53">
        <v>5400</v>
      </c>
      <c r="C24" s="53">
        <v>96</v>
      </c>
      <c r="D24" s="209">
        <f t="shared" si="0"/>
        <v>169.84888888888889</v>
      </c>
    </row>
    <row r="25" spans="1:19" x14ac:dyDescent="0.25">
      <c r="A25" s="53"/>
      <c r="B25" s="53">
        <v>5600</v>
      </c>
      <c r="C25" s="53">
        <v>94</v>
      </c>
      <c r="D25" s="209">
        <f t="shared" si="0"/>
        <v>160.37071428571429</v>
      </c>
    </row>
    <row r="26" spans="1:19" x14ac:dyDescent="0.25">
      <c r="A26" s="53"/>
      <c r="B26" s="53">
        <v>5800</v>
      </c>
      <c r="C26" s="53">
        <v>90</v>
      </c>
      <c r="D26" s="209">
        <f t="shared" si="0"/>
        <v>148.25172413793103</v>
      </c>
      <c r="L26" s="339" t="s">
        <v>129</v>
      </c>
      <c r="M26" s="340"/>
      <c r="N26" s="341"/>
    </row>
    <row r="27" spans="1:19" x14ac:dyDescent="0.25">
      <c r="A27" s="53"/>
      <c r="L27" s="212"/>
      <c r="M27" s="213"/>
      <c r="N27" s="214"/>
    </row>
    <row r="28" spans="1:19" ht="15.75" thickBot="1" x14ac:dyDescent="0.3">
      <c r="A28" s="53"/>
      <c r="L28" s="212" t="s">
        <v>130</v>
      </c>
      <c r="M28" s="213">
        <v>82.7</v>
      </c>
      <c r="N28" s="214" t="s">
        <v>131</v>
      </c>
    </row>
    <row r="29" spans="1:19" x14ac:dyDescent="0.25">
      <c r="A29" s="53"/>
      <c r="B29" s="342" t="s">
        <v>132</v>
      </c>
      <c r="C29" s="343"/>
      <c r="D29" s="343"/>
      <c r="E29" s="343"/>
      <c r="F29" s="343"/>
      <c r="G29" s="343"/>
      <c r="H29" s="343"/>
      <c r="I29" s="343"/>
      <c r="J29" s="344"/>
      <c r="L29" s="212" t="s">
        <v>133</v>
      </c>
      <c r="M29" s="215">
        <v>5800</v>
      </c>
      <c r="N29" s="214" t="s">
        <v>134</v>
      </c>
    </row>
    <row r="30" spans="1:19" ht="15.75" thickBot="1" x14ac:dyDescent="0.3">
      <c r="A30" s="53"/>
      <c r="B30" s="345"/>
      <c r="C30" s="346"/>
      <c r="D30" s="346"/>
      <c r="E30" s="346"/>
      <c r="F30" s="346"/>
      <c r="G30" s="346"/>
      <c r="H30" s="346"/>
      <c r="I30" s="346"/>
      <c r="J30" s="347"/>
      <c r="L30" s="212" t="s">
        <v>135</v>
      </c>
      <c r="M30" s="215">
        <v>0.32</v>
      </c>
      <c r="N30" s="214" t="s">
        <v>136</v>
      </c>
    </row>
    <row r="31" spans="1:19" x14ac:dyDescent="0.25">
      <c r="B31" s="35"/>
      <c r="C31" s="36"/>
      <c r="D31" s="36"/>
      <c r="E31" s="36"/>
      <c r="F31" s="36"/>
      <c r="G31" s="36"/>
      <c r="H31" s="36"/>
      <c r="I31" s="36"/>
      <c r="J31" s="32"/>
      <c r="L31" s="212" t="s">
        <v>137</v>
      </c>
      <c r="M31" s="215">
        <v>3.18</v>
      </c>
      <c r="N31" s="214" t="s">
        <v>54</v>
      </c>
    </row>
    <row r="32" spans="1:19" x14ac:dyDescent="0.25">
      <c r="B32" s="216">
        <f>E32</f>
        <v>0</v>
      </c>
      <c r="C32">
        <f>F32</f>
        <v>0</v>
      </c>
      <c r="E32" s="53">
        <v>0</v>
      </c>
      <c r="F32" s="209">
        <v>0</v>
      </c>
      <c r="H32" t="s">
        <v>138</v>
      </c>
      <c r="I32" t="s">
        <v>139</v>
      </c>
      <c r="J32" s="33"/>
      <c r="L32" s="212" t="s">
        <v>140</v>
      </c>
      <c r="M32" s="215">
        <v>0.9</v>
      </c>
      <c r="N32" s="214" t="s">
        <v>54</v>
      </c>
      <c r="Q32" s="348" t="s">
        <v>141</v>
      </c>
      <c r="R32" s="348"/>
      <c r="S32" s="348"/>
    </row>
    <row r="33" spans="2:19" x14ac:dyDescent="0.25">
      <c r="B33" s="216">
        <f>E33</f>
        <v>5800</v>
      </c>
      <c r="C33" s="209">
        <f>IF(F33=0,C35,F33)</f>
        <v>45.810042873770811</v>
      </c>
      <c r="E33" s="53">
        <f>IF(L51&gt;0,$M$29,E35)</f>
        <v>5800</v>
      </c>
      <c r="F33" s="209">
        <f>IF(L51&gt;0,0.3768*$M$29*$M$30/($M$31*M51),0)</f>
        <v>45.810042873770811</v>
      </c>
      <c r="J33" s="33"/>
      <c r="L33" s="212" t="s">
        <v>142</v>
      </c>
      <c r="M33" s="215">
        <v>6.0000000000000001E-3</v>
      </c>
      <c r="N33" s="214" t="s">
        <v>54</v>
      </c>
      <c r="Q33" s="212" t="s">
        <v>143</v>
      </c>
      <c r="R33" s="215">
        <v>1.1000000000000001</v>
      </c>
      <c r="S33" s="214" t="s">
        <v>54</v>
      </c>
    </row>
    <row r="34" spans="2:19" x14ac:dyDescent="0.25">
      <c r="B34" s="217">
        <f>IF(F33=0,B36,C33*($M$31*M50)/0.3768/M30)</f>
        <v>3004.8892349046846</v>
      </c>
      <c r="C34" s="209">
        <f>IF(F33=0,C36,F33)</f>
        <v>45.810042873770811</v>
      </c>
      <c r="E34" s="53">
        <v>0</v>
      </c>
      <c r="F34" s="209">
        <v>0</v>
      </c>
      <c r="H34" s="209">
        <f>B34</f>
        <v>3004.8892349046846</v>
      </c>
      <c r="I34" s="53">
        <f>E33</f>
        <v>5800</v>
      </c>
      <c r="J34" s="218">
        <f>C34</f>
        <v>45.810042873770811</v>
      </c>
      <c r="L34" s="212" t="s">
        <v>144</v>
      </c>
      <c r="M34" s="215">
        <v>1500</v>
      </c>
      <c r="N34" s="214" t="s">
        <v>145</v>
      </c>
    </row>
    <row r="35" spans="2:19" x14ac:dyDescent="0.25">
      <c r="B35" s="216">
        <f>E35</f>
        <v>5800</v>
      </c>
      <c r="C35" s="209">
        <f>IF(F35=0,C37,F35)</f>
        <v>88.42197761618948</v>
      </c>
      <c r="E35" s="53">
        <f>IF(L50&gt;0,$M$29,E37)</f>
        <v>5800</v>
      </c>
      <c r="F35" s="209">
        <f>IF(L50&gt;0,0.3768*$M$29*$M$30/($M$31*M50),0)</f>
        <v>88.42197761618948</v>
      </c>
      <c r="H35" s="209">
        <f>B36</f>
        <v>3455.6226201403865</v>
      </c>
      <c r="I35" s="53">
        <f>E35</f>
        <v>5800</v>
      </c>
      <c r="J35" s="218">
        <f>C35</f>
        <v>88.42197761618948</v>
      </c>
      <c r="L35" s="212" t="s">
        <v>146</v>
      </c>
      <c r="M35" s="215">
        <v>0</v>
      </c>
      <c r="N35" s="214" t="s">
        <v>145</v>
      </c>
    </row>
    <row r="36" spans="2:19" x14ac:dyDescent="0.25">
      <c r="B36" s="217">
        <f>IF(F35=0,B38,C35*($M$31*M49)/0.3768/M30)</f>
        <v>3455.6226201403865</v>
      </c>
      <c r="C36" s="209">
        <f>IF(F35=0,C38,F35)</f>
        <v>88.42197761618948</v>
      </c>
      <c r="E36" s="53">
        <v>0</v>
      </c>
      <c r="F36" s="209">
        <v>0</v>
      </c>
      <c r="H36" s="209">
        <f>B38</f>
        <v>3973.9660131614437</v>
      </c>
      <c r="I36" s="53">
        <f>E37</f>
        <v>5800</v>
      </c>
      <c r="J36" s="218">
        <f>F37</f>
        <v>148.40957087873915</v>
      </c>
      <c r="L36" s="219" t="s">
        <v>147</v>
      </c>
      <c r="M36" s="220">
        <v>220</v>
      </c>
      <c r="N36" s="221" t="s">
        <v>148</v>
      </c>
    </row>
    <row r="37" spans="2:19" x14ac:dyDescent="0.25">
      <c r="B37" s="216">
        <f>E37</f>
        <v>5800</v>
      </c>
      <c r="C37" s="209">
        <f>IF(F37=0,C39,F37)</f>
        <v>148.40957087873915</v>
      </c>
      <c r="E37" s="53">
        <f>$M$29</f>
        <v>5800</v>
      </c>
      <c r="F37" s="209">
        <f>IF(L49&gt;0,0.3768*$M$29*$M$30/($M$31*M49),0)</f>
        <v>148.40957087873915</v>
      </c>
      <c r="H37" s="209">
        <f>B40</f>
        <v>4570.0609151356612</v>
      </c>
      <c r="I37" s="53">
        <f>E39</f>
        <v>5800</v>
      </c>
      <c r="J37" s="218">
        <f>F39</f>
        <v>216.60364186454299</v>
      </c>
      <c r="L37" s="222">
        <f>M42</f>
        <v>5</v>
      </c>
      <c r="M37" s="223">
        <f>I_5</f>
        <v>0.8</v>
      </c>
      <c r="N37" s="214"/>
    </row>
    <row r="38" spans="2:19" x14ac:dyDescent="0.25">
      <c r="B38" s="217">
        <f>IF(F37=0,B40,C37*($M$31*M48)/0.3768/M30)</f>
        <v>3973.9660131614437</v>
      </c>
      <c r="C38" s="209">
        <f>IF(F37=0,C40,F37)</f>
        <v>148.40957087873915</v>
      </c>
      <c r="E38" s="53">
        <v>0</v>
      </c>
      <c r="F38" s="209">
        <v>0</v>
      </c>
      <c r="H38" s="210">
        <f>B41</f>
        <v>5800</v>
      </c>
      <c r="I38" s="53">
        <f>E41</f>
        <v>5800</v>
      </c>
      <c r="J38" s="218">
        <f>F41</f>
        <v>274.89811320754711</v>
      </c>
    </row>
    <row r="39" spans="2:19" x14ac:dyDescent="0.25">
      <c r="B39" s="216">
        <f>E39</f>
        <v>5800</v>
      </c>
      <c r="C39" s="209">
        <f>IF(F39=0,C41,F39)</f>
        <v>216.60364186454299</v>
      </c>
      <c r="E39" s="53">
        <f>$M$29</f>
        <v>5800</v>
      </c>
      <c r="F39" s="209">
        <f>0.3768*$M$29*$M$30/($M$31*M48)</f>
        <v>216.60364186454299</v>
      </c>
      <c r="I39" s="211">
        <f>E42</f>
        <v>0</v>
      </c>
      <c r="J39" s="224">
        <f>F42</f>
        <v>0</v>
      </c>
    </row>
    <row r="40" spans="2:19" x14ac:dyDescent="0.25">
      <c r="B40" s="217">
        <f>IF(F39=0,B42,C39*($M$31*$M$37)/0.3768/M30)</f>
        <v>4570.0609151356612</v>
      </c>
      <c r="C40" s="209">
        <f>IF(F39=0,C42,F39)</f>
        <v>216.60364186454299</v>
      </c>
      <c r="E40" s="53">
        <v>0</v>
      </c>
      <c r="F40" s="209">
        <v>0</v>
      </c>
      <c r="J40" s="33"/>
      <c r="L40" s="348" t="s">
        <v>141</v>
      </c>
      <c r="M40" s="348"/>
      <c r="N40" s="348"/>
    </row>
    <row r="41" spans="2:19" x14ac:dyDescent="0.25">
      <c r="B41" s="216">
        <f>E41</f>
        <v>5800</v>
      </c>
      <c r="C41" s="209">
        <f>F41</f>
        <v>274.89811320754711</v>
      </c>
      <c r="E41" s="53">
        <f>$M$29</f>
        <v>5800</v>
      </c>
      <c r="F41" s="209">
        <f>0.3768*$M$29*$M$30/($M$31*M37)</f>
        <v>274.89811320754711</v>
      </c>
      <c r="J41" s="33"/>
      <c r="L41" s="212" t="s">
        <v>143</v>
      </c>
      <c r="M41" s="215">
        <v>1.1499999999999999</v>
      </c>
      <c r="N41" s="214" t="s">
        <v>54</v>
      </c>
    </row>
    <row r="42" spans="2:19" x14ac:dyDescent="0.25">
      <c r="B42" s="225">
        <f>C41*($M$31*$M$37)/0.3768/M32</f>
        <v>2062.2222222222217</v>
      </c>
      <c r="C42" s="210">
        <f>IF(F41=0,C44,F41)</f>
        <v>274.89811320754711</v>
      </c>
      <c r="E42" s="211">
        <v>0</v>
      </c>
      <c r="F42" s="210">
        <v>0</v>
      </c>
      <c r="H42" s="226"/>
      <c r="I42" t="s">
        <v>149</v>
      </c>
      <c r="J42" s="33"/>
      <c r="L42" s="212" t="s">
        <v>150</v>
      </c>
      <c r="M42" s="215">
        <v>5</v>
      </c>
      <c r="N42" s="214" t="s">
        <v>54</v>
      </c>
    </row>
    <row r="43" spans="2:19" x14ac:dyDescent="0.25">
      <c r="B43" s="227">
        <f>E43</f>
        <v>5800</v>
      </c>
      <c r="C43" s="210" t="e">
        <f>F43</f>
        <v>#REF!</v>
      </c>
      <c r="E43" s="211">
        <f>$M$29</f>
        <v>5800</v>
      </c>
      <c r="F43" s="210" t="e">
        <f>0.3768*$M$29*$M$30/($M$31*#REF!)</f>
        <v>#REF!</v>
      </c>
      <c r="H43" s="226"/>
      <c r="J43" s="33"/>
    </row>
    <row r="44" spans="2:19" ht="15.75" thickBot="1" x14ac:dyDescent="0.3">
      <c r="B44" s="37"/>
      <c r="C44" s="38"/>
      <c r="D44" s="38"/>
      <c r="E44" s="38"/>
      <c r="F44" s="38"/>
      <c r="G44" s="38"/>
      <c r="H44" s="38"/>
      <c r="I44" s="38"/>
      <c r="J44" s="34"/>
    </row>
    <row r="45" spans="2:19" x14ac:dyDescent="0.25">
      <c r="L45" s="348" t="s">
        <v>151</v>
      </c>
      <c r="M45" s="348"/>
      <c r="N45" s="348"/>
    </row>
    <row r="46" spans="2:19" x14ac:dyDescent="0.25">
      <c r="L46" s="215" t="s">
        <v>152</v>
      </c>
      <c r="M46" s="223">
        <f>((M34+M35)*9.81*(SIN(ATAN(M28/100))+M33*COS(ATAN(M28/100)))*M30/M32/M36)/M31</f>
        <v>4.8006610945993069</v>
      </c>
      <c r="N46" s="214" t="s">
        <v>54</v>
      </c>
    </row>
    <row r="47" spans="2:19" x14ac:dyDescent="0.25">
      <c r="L47" s="215" t="s">
        <v>153</v>
      </c>
      <c r="M47" s="228">
        <f>(I_1/phi_2^(0.5*(z_max-1)*(z_max-2))*(1/I_5))^(1/(z_max-1))</f>
        <v>1.2691296916395325</v>
      </c>
      <c r="N47" s="214" t="s">
        <v>54</v>
      </c>
    </row>
    <row r="48" spans="2:19" x14ac:dyDescent="0.25">
      <c r="L48" s="215">
        <f>M42-1</f>
        <v>4</v>
      </c>
      <c r="M48" s="223">
        <f>M47*M37</f>
        <v>1.015303753311626</v>
      </c>
      <c r="N48" s="214"/>
    </row>
    <row r="49" spans="12:14" x14ac:dyDescent="0.25">
      <c r="L49" s="215">
        <f>M42-2</f>
        <v>3</v>
      </c>
      <c r="M49" s="223">
        <f>M47^2*M41*M37</f>
        <v>1.4818349602649705</v>
      </c>
      <c r="N49" s="214"/>
    </row>
    <row r="50" spans="12:14" x14ac:dyDescent="0.25">
      <c r="L50" s="215">
        <f>M42-3</f>
        <v>2</v>
      </c>
      <c r="M50" s="223">
        <f>M47^3*M41^3*M37</f>
        <v>2.4871473868253782</v>
      </c>
      <c r="N50" s="214"/>
    </row>
    <row r="51" spans="12:14" x14ac:dyDescent="0.25">
      <c r="L51" s="215">
        <f>M42-4</f>
        <v>1</v>
      </c>
      <c r="M51" s="223">
        <f>M47^4*M41^6*M37</f>
        <v>4.8006610945993069</v>
      </c>
      <c r="N51" s="214"/>
    </row>
  </sheetData>
  <mergeCells count="5">
    <mergeCell ref="L26:N26"/>
    <mergeCell ref="B29:J30"/>
    <mergeCell ref="Q32:S32"/>
    <mergeCell ref="L40:N40"/>
    <mergeCell ref="L45:N45"/>
  </mergeCells>
  <pageMargins left="0.7" right="0.7" top="0.78740157499999996" bottom="0.78740157499999996"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E2B17-AA59-4116-A8A8-4290CFB051CD}">
  <sheetPr>
    <tabColor theme="0" tint="-4.9989318521683403E-2"/>
  </sheetPr>
  <dimension ref="A1:I74"/>
  <sheetViews>
    <sheetView topLeftCell="A40" zoomScale="130" zoomScaleNormal="130" zoomScaleSheetLayoutView="100" workbookViewId="0">
      <selection activeCell="G59" sqref="G59"/>
    </sheetView>
  </sheetViews>
  <sheetFormatPr baseColWidth="10" defaultColWidth="11.42578125" defaultRowHeight="15" x14ac:dyDescent="0.25"/>
  <cols>
    <col min="6" max="6" width="12.85546875" customWidth="1"/>
    <col min="7" max="7" width="12.42578125" customWidth="1"/>
    <col min="12" max="12" width="12.140625" customWidth="1"/>
  </cols>
  <sheetData>
    <row r="1" spans="1:8" ht="15" customHeight="1" x14ac:dyDescent="0.25">
      <c r="A1" s="323" t="s">
        <v>49</v>
      </c>
      <c r="B1" s="324"/>
      <c r="C1" s="324"/>
      <c r="D1" s="324"/>
      <c r="E1" s="324"/>
      <c r="F1" s="324"/>
      <c r="G1" s="324"/>
      <c r="H1" s="325"/>
    </row>
    <row r="2" spans="1:8" ht="15" customHeight="1" x14ac:dyDescent="0.25">
      <c r="A2" s="326"/>
      <c r="B2" s="327"/>
      <c r="C2" s="327"/>
      <c r="D2" s="327"/>
      <c r="E2" s="327"/>
      <c r="F2" s="327"/>
      <c r="G2" s="327"/>
      <c r="H2" s="328"/>
    </row>
    <row r="3" spans="1:8" ht="15" customHeight="1" x14ac:dyDescent="0.25">
      <c r="A3" s="329" t="s">
        <v>110</v>
      </c>
      <c r="B3" s="311"/>
      <c r="C3" s="311"/>
      <c r="D3" s="311"/>
      <c r="E3" s="311"/>
      <c r="F3" s="311"/>
      <c r="G3" s="311"/>
      <c r="H3" s="330"/>
    </row>
    <row r="4" spans="1:8" x14ac:dyDescent="0.25">
      <c r="A4" s="329"/>
      <c r="B4" s="311"/>
      <c r="C4" s="311"/>
      <c r="D4" s="311"/>
      <c r="E4" s="311"/>
      <c r="F4" s="311"/>
      <c r="G4" s="311"/>
      <c r="H4" s="330"/>
    </row>
    <row r="5" spans="1:8" x14ac:dyDescent="0.25">
      <c r="A5" s="329"/>
      <c r="B5" s="311"/>
      <c r="C5" s="311"/>
      <c r="D5" s="311"/>
      <c r="E5" s="311"/>
      <c r="F5" s="311"/>
      <c r="G5" s="311"/>
      <c r="H5" s="330"/>
    </row>
    <row r="6" spans="1:8" x14ac:dyDescent="0.25">
      <c r="A6" s="329"/>
      <c r="B6" s="311"/>
      <c r="C6" s="311"/>
      <c r="D6" s="311"/>
      <c r="E6" s="311"/>
      <c r="F6" s="311"/>
      <c r="G6" s="311"/>
      <c r="H6" s="330"/>
    </row>
    <row r="7" spans="1:8" x14ac:dyDescent="0.25">
      <c r="A7" s="329"/>
      <c r="B7" s="311"/>
      <c r="C7" s="311"/>
      <c r="D7" s="311"/>
      <c r="E7" s="311"/>
      <c r="F7" s="311"/>
      <c r="G7" s="311"/>
      <c r="H7" s="330"/>
    </row>
    <row r="8" spans="1:8" x14ac:dyDescent="0.25">
      <c r="A8" s="329"/>
      <c r="B8" s="311"/>
      <c r="C8" s="311"/>
      <c r="D8" s="311"/>
      <c r="E8" s="311"/>
      <c r="F8" s="311"/>
      <c r="G8" s="311"/>
      <c r="H8" s="330"/>
    </row>
    <row r="9" spans="1:8" x14ac:dyDescent="0.25">
      <c r="A9" s="329"/>
      <c r="B9" s="311"/>
      <c r="C9" s="311"/>
      <c r="D9" s="311"/>
      <c r="E9" s="311"/>
      <c r="F9" s="311"/>
      <c r="G9" s="311"/>
      <c r="H9" s="330"/>
    </row>
    <row r="10" spans="1:8" x14ac:dyDescent="0.25">
      <c r="A10" s="329"/>
      <c r="B10" s="311"/>
      <c r="C10" s="311"/>
      <c r="D10" s="311"/>
      <c r="E10" s="311"/>
      <c r="F10" s="311"/>
      <c r="G10" s="311"/>
      <c r="H10" s="330"/>
    </row>
    <row r="11" spans="1:8" x14ac:dyDescent="0.25">
      <c r="A11" s="110" t="s">
        <v>15</v>
      </c>
      <c r="B11" s="43"/>
      <c r="C11" s="58"/>
      <c r="D11" s="109"/>
      <c r="E11" s="39"/>
      <c r="G11" s="109"/>
      <c r="H11" s="111"/>
    </row>
    <row r="12" spans="1:8" x14ac:dyDescent="0.25">
      <c r="A12" s="52"/>
      <c r="B12" s="43"/>
      <c r="C12" s="59"/>
      <c r="D12" s="109"/>
      <c r="E12" s="29"/>
      <c r="H12" s="33"/>
    </row>
    <row r="13" spans="1:8" x14ac:dyDescent="0.25">
      <c r="A13" s="52"/>
      <c r="C13" s="59"/>
      <c r="D13" s="109"/>
      <c r="E13" s="29"/>
      <c r="F13" s="57"/>
      <c r="H13" s="33"/>
    </row>
    <row r="14" spans="1:8" x14ac:dyDescent="0.25">
      <c r="A14" s="48"/>
      <c r="H14" s="33"/>
    </row>
    <row r="15" spans="1:8" x14ac:dyDescent="0.25">
      <c r="A15" s="48"/>
      <c r="H15" s="33"/>
    </row>
    <row r="16" spans="1:8" x14ac:dyDescent="0.25">
      <c r="A16" s="48"/>
      <c r="H16" s="33"/>
    </row>
    <row r="17" spans="1:8" x14ac:dyDescent="0.25">
      <c r="A17" s="48"/>
      <c r="H17" s="33"/>
    </row>
    <row r="18" spans="1:8" x14ac:dyDescent="0.25">
      <c r="A18" s="48"/>
      <c r="H18" s="33"/>
    </row>
    <row r="19" spans="1:8" x14ac:dyDescent="0.25">
      <c r="A19" s="48"/>
      <c r="H19" s="33"/>
    </row>
    <row r="20" spans="1:8" x14ac:dyDescent="0.25">
      <c r="A20" s="48"/>
      <c r="H20" s="33"/>
    </row>
    <row r="21" spans="1:8" x14ac:dyDescent="0.25">
      <c r="A21" s="48"/>
      <c r="H21" s="33"/>
    </row>
    <row r="22" spans="1:8" x14ac:dyDescent="0.25">
      <c r="A22" s="48"/>
      <c r="H22" s="33"/>
    </row>
    <row r="23" spans="1:8" x14ac:dyDescent="0.25">
      <c r="A23" s="48"/>
      <c r="H23" s="33"/>
    </row>
    <row r="24" spans="1:8" x14ac:dyDescent="0.25">
      <c r="A24" s="48" t="s">
        <v>12</v>
      </c>
      <c r="G24" s="39">
        <v>4</v>
      </c>
      <c r="H24" s="33" t="s">
        <v>91</v>
      </c>
    </row>
    <row r="25" spans="1:8" x14ac:dyDescent="0.25">
      <c r="A25" s="52"/>
      <c r="G25" s="39">
        <v>3</v>
      </c>
      <c r="H25" s="33" t="s">
        <v>92</v>
      </c>
    </row>
    <row r="26" spans="1:8" x14ac:dyDescent="0.25">
      <c r="A26" s="52"/>
      <c r="G26" s="29">
        <v>2</v>
      </c>
      <c r="H26" s="33" t="s">
        <v>93</v>
      </c>
    </row>
    <row r="27" spans="1:8" x14ac:dyDescent="0.25">
      <c r="A27" s="52"/>
      <c r="H27" s="33"/>
    </row>
    <row r="28" spans="1:8" x14ac:dyDescent="0.25">
      <c r="A28" s="52"/>
      <c r="H28" s="41">
        <v>3</v>
      </c>
    </row>
    <row r="29" spans="1:8" x14ac:dyDescent="0.25">
      <c r="A29" s="52"/>
      <c r="H29" s="33"/>
    </row>
    <row r="30" spans="1:8" x14ac:dyDescent="0.25">
      <c r="A30" s="52"/>
      <c r="H30" s="33"/>
    </row>
    <row r="31" spans="1:8" ht="15.75" thickBot="1" x14ac:dyDescent="0.3">
      <c r="A31" s="52"/>
      <c r="H31" s="33"/>
    </row>
    <row r="32" spans="1:8" ht="18" x14ac:dyDescent="0.35">
      <c r="A32" s="156" t="s">
        <v>47</v>
      </c>
      <c r="B32" s="36"/>
      <c r="C32" s="56" t="s">
        <v>41</v>
      </c>
      <c r="D32" s="57">
        <v>0.9</v>
      </c>
      <c r="E32" s="56" t="s">
        <v>105</v>
      </c>
      <c r="F32" s="157">
        <v>100</v>
      </c>
      <c r="G32" s="36"/>
      <c r="H32" s="32"/>
    </row>
    <row r="33" spans="1:9" ht="18" x14ac:dyDescent="0.35">
      <c r="A33" s="52"/>
      <c r="C33" s="29" t="s">
        <v>102</v>
      </c>
      <c r="D33" s="155">
        <f>hs</f>
        <v>0.6</v>
      </c>
      <c r="E33" s="29" t="s">
        <v>106</v>
      </c>
      <c r="F33" s="154">
        <v>50</v>
      </c>
      <c r="H33" s="33"/>
    </row>
    <row r="34" spans="1:9" ht="15.75" thickBot="1" x14ac:dyDescent="0.3">
      <c r="A34" s="52"/>
      <c r="C34" s="29" t="s">
        <v>104</v>
      </c>
      <c r="D34" s="42">
        <v>40</v>
      </c>
      <c r="H34" s="33"/>
    </row>
    <row r="35" spans="1:9" x14ac:dyDescent="0.25">
      <c r="A35" s="35"/>
      <c r="B35" s="36"/>
      <c r="C35" s="36"/>
      <c r="D35" s="36"/>
      <c r="E35" s="36"/>
      <c r="F35" s="36"/>
      <c r="G35" s="36"/>
      <c r="H35" s="32"/>
    </row>
    <row r="36" spans="1:9" x14ac:dyDescent="0.25">
      <c r="A36" s="52" t="s">
        <v>14</v>
      </c>
      <c r="B36" t="s">
        <v>101</v>
      </c>
      <c r="F36" s="29"/>
      <c r="G36" s="162"/>
      <c r="H36" s="33"/>
    </row>
    <row r="37" spans="1:9" x14ac:dyDescent="0.25">
      <c r="A37" s="52"/>
      <c r="H37" s="33"/>
    </row>
    <row r="38" spans="1:9" x14ac:dyDescent="0.25">
      <c r="A38" s="52"/>
      <c r="H38" s="41">
        <v>1</v>
      </c>
    </row>
    <row r="39" spans="1:9" x14ac:dyDescent="0.25">
      <c r="A39" s="52"/>
      <c r="H39" s="33"/>
    </row>
    <row r="40" spans="1:9" x14ac:dyDescent="0.25">
      <c r="A40" s="52"/>
      <c r="H40" s="33"/>
    </row>
    <row r="41" spans="1:9" x14ac:dyDescent="0.25">
      <c r="A41" s="52"/>
      <c r="H41" s="33"/>
    </row>
    <row r="42" spans="1:9" x14ac:dyDescent="0.25">
      <c r="A42" s="52"/>
      <c r="H42" s="41">
        <v>2</v>
      </c>
    </row>
    <row r="43" spans="1:9" x14ac:dyDescent="0.25">
      <c r="A43" s="52"/>
      <c r="H43" s="33"/>
    </row>
    <row r="44" spans="1:9" ht="15.75" thickBot="1" x14ac:dyDescent="0.3">
      <c r="A44" s="37"/>
      <c r="B44" s="38"/>
      <c r="C44" s="38"/>
      <c r="D44" s="38"/>
      <c r="E44" s="38"/>
      <c r="F44" s="137" t="s">
        <v>48</v>
      </c>
      <c r="G44" s="163">
        <f>-0.5*(F32/3.6)^2/D34</f>
        <v>-9.6450617283950617</v>
      </c>
      <c r="H44" s="88">
        <v>1</v>
      </c>
      <c r="I44" s="41">
        <f>SUM(H35:H44)</f>
        <v>4</v>
      </c>
    </row>
    <row r="45" spans="1:9" x14ac:dyDescent="0.25">
      <c r="A45" s="35"/>
      <c r="B45" s="36"/>
      <c r="C45" s="36"/>
      <c r="D45" s="36"/>
      <c r="E45" s="36"/>
      <c r="F45" s="36"/>
      <c r="G45" s="36"/>
      <c r="H45" s="32"/>
    </row>
    <row r="46" spans="1:9" x14ac:dyDescent="0.25">
      <c r="A46" s="52" t="s">
        <v>17</v>
      </c>
      <c r="H46" s="41">
        <v>1</v>
      </c>
    </row>
    <row r="47" spans="1:9" ht="18" x14ac:dyDescent="0.35">
      <c r="A47" s="52"/>
      <c r="F47" s="29" t="s">
        <v>103</v>
      </c>
      <c r="G47" s="159">
        <f>-m_F_normal*G44</f>
        <v>12538.58024691358</v>
      </c>
      <c r="H47" s="41">
        <v>1</v>
      </c>
    </row>
    <row r="48" spans="1:9" x14ac:dyDescent="0.25">
      <c r="A48" s="52"/>
      <c r="H48" s="33"/>
    </row>
    <row r="49" spans="1:9" ht="18" x14ac:dyDescent="0.35">
      <c r="A49" s="52"/>
      <c r="F49" s="29" t="s">
        <v>108</v>
      </c>
      <c r="G49" s="158">
        <f>(m_F_normal)*g_Erdbeschl.</f>
        <v>12753</v>
      </c>
      <c r="H49" s="41">
        <v>1</v>
      </c>
    </row>
    <row r="50" spans="1:9" ht="18" x14ac:dyDescent="0.35">
      <c r="A50" s="52"/>
      <c r="F50" s="29" t="s">
        <v>46</v>
      </c>
      <c r="G50" s="158">
        <f>0.5*roh_Luft*cw*A*(F33/3.6)^2</f>
        <v>81.944444444444443</v>
      </c>
      <c r="H50" s="41">
        <v>1</v>
      </c>
    </row>
    <row r="51" spans="1:9" x14ac:dyDescent="0.25">
      <c r="A51" s="52"/>
      <c r="H51" s="33"/>
    </row>
    <row r="52" spans="1:9" x14ac:dyDescent="0.25">
      <c r="A52" s="52"/>
      <c r="H52" s="41">
        <v>2</v>
      </c>
    </row>
    <row r="53" spans="1:9" x14ac:dyDescent="0.25">
      <c r="A53" s="52"/>
      <c r="H53" s="33"/>
    </row>
    <row r="54" spans="1:9" x14ac:dyDescent="0.25">
      <c r="A54" s="52"/>
      <c r="H54" s="33"/>
    </row>
    <row r="55" spans="1:9" x14ac:dyDescent="0.25">
      <c r="A55" s="52"/>
      <c r="H55" s="33"/>
    </row>
    <row r="56" spans="1:9" x14ac:dyDescent="0.25">
      <c r="A56" s="52"/>
      <c r="H56" s="41">
        <v>1</v>
      </c>
    </row>
    <row r="57" spans="1:9" x14ac:dyDescent="0.25">
      <c r="A57" s="52"/>
      <c r="H57" s="33"/>
    </row>
    <row r="58" spans="1:9" ht="18" x14ac:dyDescent="0.35">
      <c r="A58" s="52"/>
      <c r="B58" s="29" t="s">
        <v>107</v>
      </c>
      <c r="C58" t="str">
        <f>CONCATENATE(1," / ",l_0," ( ",m_F_normal," * 9,81 * ",lh," + ",ROUND(G47,0)," * ",hs," - ",ROUND(G50,0)," * ",h_LW," )   =")</f>
        <v>1 / 2,8 ( 1300 * 9,81 * 1,6 + 12539 * 0,6 - 82 * 0,9 )   =</v>
      </c>
      <c r="G58" s="158">
        <f>1/l_0*(m_F_normal*g_Erdbeschl.*lh+G47*D33-G50*h_LW)</f>
        <v>9947.9279100529111</v>
      </c>
      <c r="H58" s="41">
        <v>1</v>
      </c>
    </row>
    <row r="59" spans="1:9" x14ac:dyDescent="0.25">
      <c r="A59" s="52"/>
      <c r="G59" s="29"/>
      <c r="H59" s="33"/>
    </row>
    <row r="60" spans="1:9" x14ac:dyDescent="0.25">
      <c r="A60" s="52"/>
      <c r="G60" s="29"/>
      <c r="H60" s="41">
        <v>1</v>
      </c>
    </row>
    <row r="61" spans="1:9" ht="18" x14ac:dyDescent="0.35">
      <c r="A61" s="52"/>
      <c r="D61" s="29" t="s">
        <v>111</v>
      </c>
      <c r="E61" t="str">
        <f>CONCATENATE(ROUND(G_normal_Gewichtskr.,0)," - ",ROUND(G58,0),"          = ")</f>
        <v xml:space="preserve">12753 - 9948          = </v>
      </c>
      <c r="G61" s="159">
        <f>G_normal_Gewichtskr.-G58</f>
        <v>2805.0720899470889</v>
      </c>
      <c r="H61" s="41">
        <v>1</v>
      </c>
    </row>
    <row r="62" spans="1:9" ht="15.75" thickBot="1" x14ac:dyDescent="0.3">
      <c r="A62" s="37"/>
      <c r="B62" s="38"/>
      <c r="C62" s="38"/>
      <c r="D62" s="38"/>
      <c r="E62" s="38"/>
      <c r="F62" s="38"/>
      <c r="G62" s="137"/>
      <c r="H62" s="34"/>
      <c r="I62" s="41">
        <f>SUM(H46:H61)</f>
        <v>10</v>
      </c>
    </row>
    <row r="63" spans="1:9" x14ac:dyDescent="0.25">
      <c r="A63" s="52" t="s">
        <v>56</v>
      </c>
      <c r="G63" s="29"/>
      <c r="H63" s="33"/>
    </row>
    <row r="64" spans="1:9" x14ac:dyDescent="0.25">
      <c r="A64" s="52"/>
      <c r="G64" s="29"/>
      <c r="H64" s="33"/>
    </row>
    <row r="65" spans="1:8" x14ac:dyDescent="0.25">
      <c r="A65" s="52"/>
      <c r="G65" s="29"/>
      <c r="H65" s="33"/>
    </row>
    <row r="66" spans="1:8" x14ac:dyDescent="0.25">
      <c r="A66" s="52"/>
      <c r="G66" s="29"/>
      <c r="H66" s="33"/>
    </row>
    <row r="67" spans="1:8" x14ac:dyDescent="0.25">
      <c r="A67" s="52"/>
      <c r="H67" s="33"/>
    </row>
    <row r="68" spans="1:8" x14ac:dyDescent="0.25">
      <c r="A68" s="52"/>
      <c r="B68" t="e">
        <f>CONCATENATE("=",1,"/",l_0,"(",m_F_normal,"*9,81*",lv,"-",ROUND(G47,0),"*",hs,"+",ROUND(G50,0),"*",h_LW,,")")</f>
        <v>#NAME?</v>
      </c>
      <c r="H68" s="33"/>
    </row>
    <row r="69" spans="1:8" ht="18" x14ac:dyDescent="0.35">
      <c r="A69" s="52"/>
      <c r="F69" s="29" t="s">
        <v>111</v>
      </c>
      <c r="G69" s="159" t="e">
        <f>1/l_0*(m_F_normal*g_Erdbeschl.*lv-G47*hs+G50*h_LW)</f>
        <v>#NAME?</v>
      </c>
      <c r="H69" s="33"/>
    </row>
    <row r="70" spans="1:8" x14ac:dyDescent="0.25">
      <c r="A70" s="52"/>
      <c r="F70" s="29" t="s">
        <v>100</v>
      </c>
      <c r="G70" s="158" t="e">
        <f>SUM(G58,G69)</f>
        <v>#NAME?</v>
      </c>
      <c r="H70" s="33"/>
    </row>
    <row r="71" spans="1:8" ht="15.75" thickBot="1" x14ac:dyDescent="0.3">
      <c r="A71" s="37"/>
      <c r="B71" s="38"/>
      <c r="C71" s="38"/>
      <c r="D71" s="38"/>
      <c r="E71" s="38"/>
      <c r="F71" s="38"/>
      <c r="G71" s="38"/>
      <c r="H71" s="34"/>
    </row>
    <row r="74" spans="1:8" x14ac:dyDescent="0.25">
      <c r="G74" s="30" t="s">
        <v>40</v>
      </c>
      <c r="H74" s="31">
        <f>SUM(H27:H61)</f>
        <v>17</v>
      </c>
    </row>
  </sheetData>
  <mergeCells count="2">
    <mergeCell ref="A1:H2"/>
    <mergeCell ref="A3:H10"/>
  </mergeCells>
  <pageMargins left="0.7" right="0.7" top="0.75" bottom="0.75" header="0.3" footer="0.3"/>
  <pageSetup paperSize="9" scale="82" orientation="portrait" r:id="rId1"/>
  <headerFooter>
    <oddHeader>&amp;L&amp;"Calibri"&amp;10&amp;K000000Internal&amp;1#&amp;R&amp;"Calibri"&amp;10&amp;K000000&amp;1#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16F2F-307E-44F0-B2F5-42BDABAAA6D9}">
  <sheetPr>
    <tabColor theme="0" tint="-4.9989318521683403E-2"/>
  </sheetPr>
  <dimension ref="A1:Q27"/>
  <sheetViews>
    <sheetView topLeftCell="A5" zoomScale="130" zoomScaleNormal="130" zoomScaleSheetLayoutView="100" workbookViewId="0">
      <selection activeCell="G7" sqref="G7"/>
    </sheetView>
  </sheetViews>
  <sheetFormatPr baseColWidth="10" defaultColWidth="11.42578125" defaultRowHeight="15" x14ac:dyDescent="0.25"/>
  <cols>
    <col min="2" max="2" width="12.28515625" customWidth="1"/>
    <col min="3" max="3" width="11.7109375" customWidth="1"/>
    <col min="4" max="4" width="13.7109375" customWidth="1"/>
    <col min="5" max="5" width="13" bestFit="1" customWidth="1"/>
    <col min="6" max="6" width="13.7109375" customWidth="1"/>
    <col min="10" max="10" width="9.140625" customWidth="1"/>
    <col min="11" max="11" width="9.42578125" customWidth="1"/>
    <col min="20" max="20" width="12.42578125" bestFit="1" customWidth="1"/>
  </cols>
  <sheetData>
    <row r="1" spans="1:10" ht="15" customHeight="1" x14ac:dyDescent="0.25">
      <c r="A1" s="323" t="s">
        <v>31</v>
      </c>
      <c r="B1" s="324"/>
      <c r="C1" s="324"/>
      <c r="D1" s="324"/>
      <c r="E1" s="324"/>
      <c r="F1" s="324"/>
      <c r="G1" s="325"/>
    </row>
    <row r="2" spans="1:10" ht="15" customHeight="1" thickBot="1" x14ac:dyDescent="0.3">
      <c r="A2" s="326"/>
      <c r="B2" s="327"/>
      <c r="C2" s="327"/>
      <c r="D2" s="327"/>
      <c r="E2" s="327"/>
      <c r="F2" s="327"/>
      <c r="G2" s="328"/>
    </row>
    <row r="3" spans="1:10" ht="15" customHeight="1" x14ac:dyDescent="0.25">
      <c r="A3" s="336" t="s">
        <v>97</v>
      </c>
      <c r="B3" s="337"/>
      <c r="C3" s="337"/>
      <c r="D3" s="337"/>
      <c r="E3" s="337"/>
      <c r="F3" s="337"/>
      <c r="G3" s="338"/>
    </row>
    <row r="4" spans="1:10" x14ac:dyDescent="0.25">
      <c r="A4" s="329"/>
      <c r="B4" s="311"/>
      <c r="C4" s="311"/>
      <c r="D4" s="311"/>
      <c r="E4" s="311"/>
      <c r="F4" s="311"/>
      <c r="G4" s="330"/>
    </row>
    <row r="5" spans="1:10" ht="15" customHeight="1" thickBot="1" x14ac:dyDescent="0.3">
      <c r="A5" s="331"/>
      <c r="B5" s="332"/>
      <c r="C5" s="332"/>
      <c r="D5" s="332"/>
      <c r="E5" s="332"/>
      <c r="F5" s="332"/>
      <c r="G5" s="333"/>
    </row>
    <row r="6" spans="1:10" ht="15.75" customHeight="1" x14ac:dyDescent="0.25">
      <c r="A6" s="110" t="s">
        <v>12</v>
      </c>
      <c r="B6" s="49"/>
      <c r="C6" s="49" t="s">
        <v>38</v>
      </c>
      <c r="D6" s="39" t="s">
        <v>64</v>
      </c>
      <c r="E6" s="109">
        <v>5.5</v>
      </c>
      <c r="F6" s="29" t="s">
        <v>98</v>
      </c>
      <c r="G6" s="153">
        <v>5</v>
      </c>
    </row>
    <row r="7" spans="1:10" ht="18" x14ac:dyDescent="0.25">
      <c r="A7" s="52"/>
      <c r="B7" s="109"/>
      <c r="C7" s="109"/>
      <c r="D7" s="39" t="s">
        <v>65</v>
      </c>
      <c r="E7" s="109">
        <f>I_1</f>
        <v>4.8006610945993069</v>
      </c>
      <c r="G7" s="72"/>
    </row>
    <row r="8" spans="1:10" x14ac:dyDescent="0.25">
      <c r="A8" s="110"/>
      <c r="B8" s="109"/>
      <c r="C8" s="109"/>
      <c r="D8" s="109"/>
      <c r="E8" s="109"/>
      <c r="G8" s="72"/>
    </row>
    <row r="9" spans="1:10" x14ac:dyDescent="0.25">
      <c r="A9" s="110"/>
      <c r="B9" s="109"/>
      <c r="C9" s="109"/>
      <c r="D9" s="109"/>
      <c r="E9" s="109"/>
      <c r="F9" s="39"/>
      <c r="G9" s="41">
        <v>1</v>
      </c>
    </row>
    <row r="10" spans="1:10" x14ac:dyDescent="0.25">
      <c r="A10" s="110"/>
      <c r="D10" s="109"/>
      <c r="E10" s="109"/>
      <c r="F10" s="109"/>
      <c r="G10" s="72"/>
    </row>
    <row r="11" spans="1:10" x14ac:dyDescent="0.25">
      <c r="A11" s="110" t="s">
        <v>45</v>
      </c>
      <c r="E11" s="39"/>
      <c r="F11" s="69"/>
      <c r="G11" s="41">
        <v>1</v>
      </c>
    </row>
    <row r="12" spans="1:10" x14ac:dyDescent="0.25">
      <c r="A12" s="52"/>
      <c r="E12" s="109"/>
      <c r="F12" s="109"/>
      <c r="G12" s="44"/>
    </row>
    <row r="13" spans="1:10" ht="18" x14ac:dyDescent="0.25">
      <c r="A13" s="52"/>
      <c r="E13" s="124" t="s">
        <v>53</v>
      </c>
      <c r="F13" s="125" t="e">
        <f>I_1/i_Gges</f>
        <v>#NAME?</v>
      </c>
      <c r="G13" s="41">
        <v>1</v>
      </c>
      <c r="I13" s="124" t="s">
        <v>53</v>
      </c>
      <c r="J13" s="125" t="e">
        <f>I_1/i_Gges</f>
        <v>#NAME?</v>
      </c>
    </row>
    <row r="14" spans="1:10" x14ac:dyDescent="0.25">
      <c r="A14" s="52"/>
      <c r="F14" s="109"/>
      <c r="G14" s="111"/>
    </row>
    <row r="15" spans="1:10" x14ac:dyDescent="0.25">
      <c r="A15" s="52"/>
      <c r="F15" s="109"/>
      <c r="G15" s="41">
        <v>1</v>
      </c>
    </row>
    <row r="16" spans="1:10" x14ac:dyDescent="0.25">
      <c r="A16" s="52"/>
      <c r="E16" s="29"/>
      <c r="F16" s="67"/>
      <c r="G16" s="111"/>
    </row>
    <row r="17" spans="1:17" ht="18" x14ac:dyDescent="0.35">
      <c r="A17" s="52"/>
      <c r="E17" s="126" t="s">
        <v>66</v>
      </c>
      <c r="F17" s="127" t="e">
        <f>(I_1/F13)^(1/(G6-1))</f>
        <v>#NAME?</v>
      </c>
      <c r="G17" s="41">
        <v>1</v>
      </c>
    </row>
    <row r="18" spans="1:17" x14ac:dyDescent="0.25">
      <c r="A18" s="52"/>
      <c r="E18" s="29"/>
      <c r="F18" s="67"/>
      <c r="G18" s="33"/>
    </row>
    <row r="19" spans="1:17" x14ac:dyDescent="0.25">
      <c r="A19" s="52"/>
      <c r="E19" s="29"/>
      <c r="F19" s="67"/>
      <c r="G19" s="41">
        <v>1</v>
      </c>
      <c r="J19" t="e">
        <f>F13/F17</f>
        <v>#NAME?</v>
      </c>
    </row>
    <row r="20" spans="1:17" x14ac:dyDescent="0.25">
      <c r="A20" s="52"/>
      <c r="E20" s="29"/>
      <c r="F20" s="67"/>
      <c r="G20" s="33"/>
    </row>
    <row r="21" spans="1:17" x14ac:dyDescent="0.25">
      <c r="A21" s="52"/>
      <c r="E21" s="29"/>
      <c r="F21" s="67"/>
      <c r="G21" s="33"/>
    </row>
    <row r="22" spans="1:17" x14ac:dyDescent="0.25">
      <c r="A22" s="52"/>
      <c r="B22" s="29"/>
      <c r="C22" s="129"/>
      <c r="E22" s="29"/>
      <c r="F22" s="67"/>
      <c r="G22" s="33"/>
    </row>
    <row r="23" spans="1:17" ht="18" x14ac:dyDescent="0.35">
      <c r="A23" s="52"/>
      <c r="E23" s="128" t="s">
        <v>50</v>
      </c>
      <c r="F23" s="127" t="e">
        <f>F13*F17^(G6-2)</f>
        <v>#NAME?</v>
      </c>
      <c r="G23" s="41">
        <v>1</v>
      </c>
    </row>
    <row r="24" spans="1:17" ht="18" x14ac:dyDescent="0.35">
      <c r="A24" s="52"/>
      <c r="E24" s="128" t="s">
        <v>51</v>
      </c>
      <c r="F24" s="127" t="e">
        <f>F13*F17^(G6-3)</f>
        <v>#NAME?</v>
      </c>
      <c r="G24" s="41">
        <v>1</v>
      </c>
    </row>
    <row r="25" spans="1:17" ht="18" x14ac:dyDescent="0.35">
      <c r="A25" s="52"/>
      <c r="E25" s="128" t="s">
        <v>52</v>
      </c>
      <c r="F25" s="127" t="e">
        <f>F13*F17^(G6-4)</f>
        <v>#NAME?</v>
      </c>
      <c r="G25" s="41">
        <v>1</v>
      </c>
      <c r="I25" s="128" t="s">
        <v>99</v>
      </c>
      <c r="J25" s="127" t="e">
        <f>J13*J17^(K6-4)</f>
        <v>#NAME?</v>
      </c>
    </row>
    <row r="26" spans="1:17" ht="15.75" thickBot="1" x14ac:dyDescent="0.3">
      <c r="A26" s="116"/>
      <c r="B26" s="117"/>
      <c r="C26" s="117"/>
      <c r="D26" s="117"/>
      <c r="E26" s="117"/>
      <c r="F26" s="117"/>
      <c r="G26" s="118"/>
      <c r="H26" s="107"/>
      <c r="I26" s="106"/>
      <c r="J26" s="106"/>
      <c r="K26" s="106"/>
      <c r="L26" s="102"/>
      <c r="M26" s="103"/>
      <c r="N26" s="103"/>
    </row>
    <row r="27" spans="1:17" x14ac:dyDescent="0.25">
      <c r="A27" s="107"/>
      <c r="B27" s="107"/>
      <c r="C27" s="107"/>
      <c r="D27" s="107"/>
      <c r="E27" s="107"/>
      <c r="F27" s="107"/>
      <c r="G27" s="31">
        <f>SUM(G7:G25)</f>
        <v>9</v>
      </c>
      <c r="H27" s="107"/>
      <c r="I27" s="106"/>
      <c r="J27" s="106"/>
      <c r="K27" s="106"/>
      <c r="L27" s="102"/>
      <c r="M27" s="103"/>
      <c r="N27" s="103"/>
      <c r="O27" s="103"/>
      <c r="P27" s="105"/>
      <c r="Q27" s="104"/>
    </row>
  </sheetData>
  <mergeCells count="2">
    <mergeCell ref="A1:G2"/>
    <mergeCell ref="A3:G5"/>
  </mergeCells>
  <pageMargins left="0.7" right="0.7" top="0.75" bottom="0.75" header="0.3" footer="0.3"/>
  <pageSetup paperSize="9" scale="88" orientation="portrait" r:id="rId1"/>
  <headerFooter>
    <oddHeader>&amp;L&amp;"Calibri"&amp;10&amp;K000000Internal&amp;1#&amp;R&amp;"Calibri"&amp;10&amp;K000000&amp;1#_x000D_&amp;"Arial"&amp;11&amp;K000000&amp;"Arial"&amp;11&amp;K000000&amp;"Arial"&amp;11&amp;K000000&amp;"Arial"&amp;11&amp;K000000&amp;"Arial"&amp;11&amp;K000000&amp;"Arial"&amp;11&amp;K000000&amp;"Arial"&amp;11&amp;K000000&amp;"Arial"&amp;11&amp;K000000&amp;G</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xml version="1.0" encoding="utf-8"?>
<NovaPath_versionInfo>4.6.8.12343</NovaPath_versionInfo>
</file>

<file path=customXml/item2.xml><?xml version="1.0" encoding="utf-8"?>
<nXeGKudETKPeaCNGFh5i0BGlH9ci87cLWvMx3DlPzuAPh2gY9s703zKUS7uW>aj/qb31JedWInYi6xuivDsuFVp36J7uVdEoD6nj8rCJAT2Z1i8e9rbMvbAzZEeMq</nXeGKudETKPeaCNGFh5i0BGlH9ci87cLWvMx3DlPzuAPh2gY9s703zKUS7uW>
</file>

<file path=customXml/item3.xml><?xml version="1.0" encoding="utf-8"?>
<nXeGKudETKPeaCNGFh5i5IeuWeXv6XDtePDOrtUSOqWwmvYa7PTRiLQvIZkriN4zFxEJfkpx7yiWurrFRQTw>wET7z3APVwWLb5suGR4vTptv1m9DkTWWxkk+1+Ek1QM=</nXeGKudETKPeaCNGFh5i5IeuWeXv6XDtePDOrtUSOqWwmvYa7PTRiLQvIZkriN4zFxEJfkpx7yiWurrFRQTw>
</file>

<file path=customXml/item4.xml><?xml version="1.0" encoding="utf-8"?>
<nXeGKudETKPeaCNGFh5ix5fP7fSWtl37NIroXmYBQsS1cecqKZfGozr8W9iy>bj//4UdkFO89WgSYlzSCHA==</nXeGKudETKPeaCNGFh5ix5fP7fSWtl37NIroXmYBQsS1cecqKZfGozr8W9iy>
</file>

<file path=customXml/item5.xml><?xml version="1.0" encoding="utf-8"?>
<nXeGKudETKPeaCNGFh5iy53cs4YTjZQd4Re9Stbph13fJwq3N1dxRUwfkxNCzGbktJIbKf2q8mQyY814Q>otRpIIeRwLhaEEzuCOJU4w==</nXeGKudETKPeaCNGFh5iy53cs4YTjZQd4Re9Stbph13fJwq3N1dxRUwfkxNCzGbktJIbKf2q8mQyY814Q>
</file>

<file path=customXml/item6.xml><?xml version="1.0" encoding="utf-8"?>
<NovaPath_docID>NC5EUPQGX2KW8VSH6C3IYQIVET</NovaPath_docID>
</file>

<file path=customXml/item7.xml><?xml version="1.0" encoding="utf-8"?>
<NovaPath_tenantID>8BC9BD9B-31E2-4E97-ABE0-B03814292429</NovaPath_tenantID>
</file>

<file path=customXml/item8.xml><?xml version="1.0" encoding="utf-8"?>
<NovaPath_docAuthor>Meid Thomas FRD TUGD1</NovaPath_docAuthor>
</file>

<file path=customXml/item9.xml><?xml version="1.0" encoding="utf-8"?>
<NovaPath_docOwner>F98976</NovaPath_docOwner>
</file>

<file path=customXml/item10.xml><?xml version="1.0" encoding="utf-8"?>
<nXeGKudETKPeaCNGFh5ix5fP7fSWtl37NIroXmZyHIynb9qBde2n67FOJFV2>hvo8jIGPriLPjiu1rqJXzKhI6gLOZ8+dIHsepsQ0SPQ=</nXeGKudETKPeaCNGFh5ix5fP7fSWtl37NIroXmZyHIynb9qBde2n67FOJFV2>
</file>

<file path=customXml/item11.xml><?xml version="1.0" encoding="utf-8"?>
<nXeGKudETKPeaCNGFh5iKXsadLDxTRe0xbrxgS3asWaSdlBY0sLX5pYu7jLmo>SiTVZYrZoP6lgSCTj6v0lYUXo7rptB3vsxE98fSlaTok74hHqUQ//z+IzG3f3dKdNUyW4Kjm/X9VSbJA4Gr5MW0KPH+B642pxXdDNArGooo=</nXeGKudETKPeaCNGFh5iKXsadLDxTRe0xbrxgS3asWaSdlBY0sLX5pYu7jLmo>
</file>

<file path=customXml/item12.xml><?xml version="1.0" encoding="utf-8"?>
<NovaPath_DocumentType>0</NovaPath_DocumentType>
</file>

<file path=customXml/item13.xml><?xml version="1.0" encoding="utf-8"?>
<NovaPath_DocInfoFromAfterSave>True</NovaPath_DocInfoFromAfterSave>
</file>

<file path=customXml/item14.xml><?xml version="1.0" encoding="utf-8"?>
<NovaPath_baseApplication>Microsoft Excel</NovaPath_baseApplication>
</file>

<file path=customXml/item15.xml><?xml version="1.0" encoding="utf-8"?>
<NovaPath_docIDOld>9ZVTSWREH9FGVPLOFCOPXFOIU4</NovaPath_docIDOld>
</file>

<file path=customXml/item16.xml><?xml version="1.0" encoding="utf-8"?>
<nXeGKudETKPeaCNGFh5i7KB6PCgefevITs3IW5zvHkDTq2cPPZVDzitehfVaR>xXOERgJrn4wgiPpGYa05bg==</nXeGKudETKPeaCNGFh5i7KB6PCgefevITs3IW5zvHkDTq2cPPZVDzitehfVaR>
</file>

<file path=customXml/item17.xml><?xml version="1.0" encoding="utf-8"?>
<nXeGKudETKPeaCNGFh5iTSI5UodjD94nh7U7VklxY>Pg22HjnTwYOG8Vc8zKfviISVuWSKwST82n3fOnq+9M+2ak7hTUlsRDD9RBauPqD71AcdCu6Fzcd3Bt+kSxYiXg==</nXeGKudETKPeaCNGFh5iTSI5UodjD94nh7U7VklxY>
</file>

<file path=customXml/item18.xml><?xml version="1.0" encoding="utf-8"?>
<nXeGKudETKPeaCNGFh5i5JKJLOqxkMZWB6LsYfMaI9RtbpE1WkCpXazESWus5B>UJzDH9o0sMpqAqcBsh9ktXaZVRzyUNzPqlzFHTheVh8KCFRyFL1Qf8M1M1pcidtIkK+adFDVzlYObeiWe2+b3g==</nXeGKudETKPeaCNGFh5i5JKJLOqxkMZWB6LsYfMaI9RtbpE1WkCpXazESWus5B>
</file>

<file path=customXml/item19.xml><?xml version="1.0" encoding="utf-8"?>
<nXeGKudETKPeaCNGFh5i7cKyawAjgyQn9gyiebCxx1jD9eHXSWW9Lib2F1j9>aj/qb31JedWInYi6xuivDsuFVp36J7uVdEoD6nj8rCJJ1zMDkq+eaglcTfmgs6PZQZww4pwUWpVpcfBgUzAOn1Pnh12NPoilfgQg5L06xp76Y5Pj9ruN8ifnPw8AlmQHi0esUPAJZIRRJheHBCYx7aouCwPcsCkSxvu5H34gM0s=</nXeGKudETKPeaCNGFh5i7cKyawAjgyQn9gyiebCxx1jD9eHXSWW9Lib2F1j9>
</file>

<file path=customXml/item20.xml><?xml version="1.0" encoding="utf-8"?>
<nXeGKudETKPeaCNGFh5i8sltj09I1nJ8AlBUytNZ1Ehih9jnZMZtoeNI9UMZ5>DLypFCKquMi/teLBbvv3qpcV0N7cfyNFSRWKMBAlKhI=</nXeGKudETKPeaCNGFh5i8sltj09I1nJ8AlBUytNZ1Ehih9jnZMZtoeNI9UMZ5>
</file>

<file path=customXml/item21.xml><?xml version="1.0" encoding="utf-8"?>
<NovaPath_docClassID>1030</NovaPath_docClassID>
</file>

<file path=customXml/item22.xml><?xml version="1.0" encoding="utf-8"?>
<nXeGKudETKPeaCNGFh5i2aVdoOsLYjULCdH7T707tDyRRmguot4fEcJ2iD6f9>4PxlWsaixaxwFlzLplerSw==</nXeGKudETKPeaCNGFh5i2aVdoOsLYjULCdH7T707tDyRRmguot4fEcJ2iD6f9>
</file>

<file path=customXml/item23.xml><?xml version="1.0" encoding="utf-8"?>
<NovaPath_docName>U:\DHBW\Klausuren\2019\2020_Aktuell_Klausur-Lösungen.xlsx</NovaPath_docName>
</file>

<file path=customXml/item24.xml><?xml version="1.0" encoding="utf-8"?>
<NovaPath_docClassDate>12/22/2016 06:33:39</NovaPath_docClassDate>
</file>

<file path=customXml/item25.xml><?xml version="1.0" encoding="utf-8"?>
<NovaPath_docClass>Internal</NovaPath_docClass>
</file>

<file path=customXml/item26.xml><?xml version="1.0" encoding="utf-8"?>
<nXeGKudETKPeaCNGFh5ix5fP7fSWtl37NIroXmZN38TajkfZeW3Vf6bvmNn8>l6CfCG4yWFRntcCx2qfL2hGceHZb6YxnVanCJDX/CFtUqYLpa0ikB+tjNI4C4iPO</nXeGKudETKPeaCNGFh5ix5fP7fSWtl37NIroXmZN38TajkfZeW3Vf6bvmNn8>
</file>

<file path=customXml/item27.xml><?xml version="1.0" encoding="utf-8"?>
<NovaPath_docPath>U:\DHBW\Klausuren\2019</NovaPath_docPath>
</file>

<file path=customXml/item28.xml><?xml version="1.0" encoding="utf-8"?>
<nXeGKudETKPeaCNGFh5iyLk1gcWWJqTgFQk8wGFUmjFC0m6hdwbr2zDsrBNVqK>d39BpI5Kv8mcSsK+MT6bffS7lHhkm2E0hxBqKXKwgxGQlJqvWhrleXDiAXdp9pac</nXeGKudETKPeaCNGFh5iyLk1gcWWJqTgFQk8wGFUmjFC0m6hdwbr2zDsrBNVqK>
</file>

<file path=customXml/itemProps1.xml><?xml version="1.0" encoding="utf-8"?>
<ds:datastoreItem xmlns:ds="http://schemas.openxmlformats.org/officeDocument/2006/customXml" ds:itemID="{0DDA4170-11D5-47DC-877E-05E38989FF7B}">
  <ds:schemaRefs/>
</ds:datastoreItem>
</file>

<file path=customXml/itemProps2.xml><?xml version="1.0" encoding="utf-8"?>
<ds:datastoreItem xmlns:ds="http://schemas.openxmlformats.org/officeDocument/2006/customXml" ds:itemID="{4DCFFB4D-4C20-4D57-8E11-25B815CC1BED}">
  <ds:schemaRefs/>
</ds:datastoreItem>
</file>

<file path=customXml/itemProps3.xml><?xml version="1.0" encoding="utf-8"?>
<ds:datastoreItem xmlns:ds="http://schemas.openxmlformats.org/officeDocument/2006/customXml" ds:itemID="{B3EE3CE4-7D6A-4271-807C-F1D00F68B968}">
  <ds:schemaRefs/>
</ds:datastoreItem>
</file>

<file path=customXml/itemProps4.xml><?xml version="1.0" encoding="utf-8"?>
<ds:datastoreItem xmlns:ds="http://schemas.openxmlformats.org/officeDocument/2006/customXml" ds:itemID="{66DA7763-36CB-4CAB-B8BD-6019C05357C9}">
  <ds:schemaRefs/>
</ds:datastoreItem>
</file>

<file path=customXml/itemProps5.xml><?xml version="1.0" encoding="utf-8"?>
<ds:datastoreItem xmlns:ds="http://schemas.openxmlformats.org/officeDocument/2006/customXml" ds:itemID="{A8808E38-F59A-4CFA-9CB9-2503570983E7}">
  <ds:schemaRefs/>
</ds:datastoreItem>
</file>

<file path=customXml/itemProps6.xml><?xml version="1.0" encoding="utf-8"?>
<ds:datastoreItem xmlns:ds="http://schemas.openxmlformats.org/officeDocument/2006/customXml" ds:itemID="{C39C5BA3-C64D-480F-A787-A8CA104B04EF}">
  <ds:schemaRefs/>
</ds:datastoreItem>
</file>

<file path=customXml/itemProps7.xml><?xml version="1.0" encoding="utf-8"?>
<ds:datastoreItem xmlns:ds="http://schemas.openxmlformats.org/officeDocument/2006/customXml" ds:itemID="{FECC0336-31D5-4F9D-817A-826B1134910B}">
  <ds:schemaRefs/>
</ds:datastoreItem>
</file>

<file path=customXml/itemProps8.xml><?xml version="1.0" encoding="utf-8"?>
<ds:datastoreItem xmlns:ds="http://schemas.openxmlformats.org/officeDocument/2006/customXml" ds:itemID="{FCF4DDB6-E9DF-47DD-9C88-EDB0FE299097}">
  <ds:schemaRefs/>
</ds:datastoreItem>
</file>

<file path=customXml/itemProps9.xml><?xml version="1.0" encoding="utf-8"?>
<ds:datastoreItem xmlns:ds="http://schemas.openxmlformats.org/officeDocument/2006/customXml" ds:itemID="{DAAE4FFE-B8D8-45BC-8E95-ACF6B976FBFB}">
  <ds:schemaRefs/>
</ds:datastoreItem>
</file>

<file path=customXml/itemProps10.xml><?xml version="1.0" encoding="utf-8"?>
<ds:datastoreItem xmlns:ds="http://schemas.openxmlformats.org/officeDocument/2006/customXml" ds:itemID="{31F89EB3-DB97-48A8-8136-A2954BE9F814}">
  <ds:schemaRefs/>
</ds:datastoreItem>
</file>

<file path=customXml/itemProps11.xml><?xml version="1.0" encoding="utf-8"?>
<ds:datastoreItem xmlns:ds="http://schemas.openxmlformats.org/officeDocument/2006/customXml" ds:itemID="{A613AA85-3584-4392-9DCF-24E580D37AB0}">
  <ds:schemaRefs/>
</ds:datastoreItem>
</file>

<file path=customXml/itemProps12.xml><?xml version="1.0" encoding="utf-8"?>
<ds:datastoreItem xmlns:ds="http://schemas.openxmlformats.org/officeDocument/2006/customXml" ds:itemID="{42D33507-24C4-4908-9F1E-E195AB523B71}">
  <ds:schemaRefs/>
</ds:datastoreItem>
</file>

<file path=customXml/itemProps13.xml><?xml version="1.0" encoding="utf-8"?>
<ds:datastoreItem xmlns:ds="http://schemas.openxmlformats.org/officeDocument/2006/customXml" ds:itemID="{B32A92C1-B6F0-4A73-B458-6D89100784F7}">
  <ds:schemaRefs/>
</ds:datastoreItem>
</file>

<file path=customXml/itemProps14.xml><?xml version="1.0" encoding="utf-8"?>
<ds:datastoreItem xmlns:ds="http://schemas.openxmlformats.org/officeDocument/2006/customXml" ds:itemID="{8D17FA11-0B0A-448C-ACAB-DD1DF48F4DF9}">
  <ds:schemaRefs/>
</ds:datastoreItem>
</file>

<file path=customXml/itemProps15.xml><?xml version="1.0" encoding="utf-8"?>
<ds:datastoreItem xmlns:ds="http://schemas.openxmlformats.org/officeDocument/2006/customXml" ds:itemID="{216F89FF-F576-4732-A15D-77A6B254B529}">
  <ds:schemaRefs/>
</ds:datastoreItem>
</file>

<file path=customXml/itemProps16.xml><?xml version="1.0" encoding="utf-8"?>
<ds:datastoreItem xmlns:ds="http://schemas.openxmlformats.org/officeDocument/2006/customXml" ds:itemID="{E408ED12-712B-497C-ADB4-6DCFF570FCC4}">
  <ds:schemaRefs/>
</ds:datastoreItem>
</file>

<file path=customXml/itemProps17.xml><?xml version="1.0" encoding="utf-8"?>
<ds:datastoreItem xmlns:ds="http://schemas.openxmlformats.org/officeDocument/2006/customXml" ds:itemID="{8C4BAEE3-A7F1-4716-86AC-2A74FC12B06A}">
  <ds:schemaRefs/>
</ds:datastoreItem>
</file>

<file path=customXml/itemProps18.xml><?xml version="1.0" encoding="utf-8"?>
<ds:datastoreItem xmlns:ds="http://schemas.openxmlformats.org/officeDocument/2006/customXml" ds:itemID="{B3DC8010-8A08-45FE-B6DC-468336B4F00F}">
  <ds:schemaRefs/>
</ds:datastoreItem>
</file>

<file path=customXml/itemProps19.xml><?xml version="1.0" encoding="utf-8"?>
<ds:datastoreItem xmlns:ds="http://schemas.openxmlformats.org/officeDocument/2006/customXml" ds:itemID="{28122FCC-8C56-4ADA-8394-AAEF9491F851}">
  <ds:schemaRefs/>
</ds:datastoreItem>
</file>

<file path=customXml/itemProps20.xml><?xml version="1.0" encoding="utf-8"?>
<ds:datastoreItem xmlns:ds="http://schemas.openxmlformats.org/officeDocument/2006/customXml" ds:itemID="{0BB8D27B-07B9-4F77-BFF1-E195F625E258}">
  <ds:schemaRefs/>
</ds:datastoreItem>
</file>

<file path=customXml/itemProps21.xml><?xml version="1.0" encoding="utf-8"?>
<ds:datastoreItem xmlns:ds="http://schemas.openxmlformats.org/officeDocument/2006/customXml" ds:itemID="{7AF41BA3-DB5E-4D9E-B795-DDDA7AC8666A}">
  <ds:schemaRefs/>
</ds:datastoreItem>
</file>

<file path=customXml/itemProps22.xml><?xml version="1.0" encoding="utf-8"?>
<ds:datastoreItem xmlns:ds="http://schemas.openxmlformats.org/officeDocument/2006/customXml" ds:itemID="{ACCFC3CD-9218-4A9C-8742-23451D5842C4}">
  <ds:schemaRefs/>
</ds:datastoreItem>
</file>

<file path=customXml/itemProps23.xml><?xml version="1.0" encoding="utf-8"?>
<ds:datastoreItem xmlns:ds="http://schemas.openxmlformats.org/officeDocument/2006/customXml" ds:itemID="{266806BC-5EA2-4B1C-8F0F-B494524C0B2C}">
  <ds:schemaRefs/>
</ds:datastoreItem>
</file>

<file path=customXml/itemProps24.xml><?xml version="1.0" encoding="utf-8"?>
<ds:datastoreItem xmlns:ds="http://schemas.openxmlformats.org/officeDocument/2006/customXml" ds:itemID="{240A79DF-F5D9-4EEA-AD3B-FA3162FD716E}">
  <ds:schemaRefs/>
</ds:datastoreItem>
</file>

<file path=customXml/itemProps25.xml><?xml version="1.0" encoding="utf-8"?>
<ds:datastoreItem xmlns:ds="http://schemas.openxmlformats.org/officeDocument/2006/customXml" ds:itemID="{AD9D3710-AAC9-41CF-8F4D-FB3A09C3F7C7}">
  <ds:schemaRefs/>
</ds:datastoreItem>
</file>

<file path=customXml/itemProps26.xml><?xml version="1.0" encoding="utf-8"?>
<ds:datastoreItem xmlns:ds="http://schemas.openxmlformats.org/officeDocument/2006/customXml" ds:itemID="{281BDC29-9914-488C-8461-5BB9AA2D270C}">
  <ds:schemaRefs/>
</ds:datastoreItem>
</file>

<file path=customXml/itemProps27.xml><?xml version="1.0" encoding="utf-8"?>
<ds:datastoreItem xmlns:ds="http://schemas.openxmlformats.org/officeDocument/2006/customXml" ds:itemID="{4FCBAD89-D8FF-4D3A-A3C0-72C6C91D1ADD}">
  <ds:schemaRefs/>
</ds:datastoreItem>
</file>

<file path=customXml/itemProps28.xml><?xml version="1.0" encoding="utf-8"?>
<ds:datastoreItem xmlns:ds="http://schemas.openxmlformats.org/officeDocument/2006/customXml" ds:itemID="{7FECAAC1-E71A-49B0-9D34-BBA2622FC07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77</vt:i4>
      </vt:variant>
    </vt:vector>
  </HeadingPairs>
  <TitlesOfParts>
    <vt:vector size="90" baseType="lpstr">
      <vt:lpstr>Deckblatt</vt:lpstr>
      <vt:lpstr>Daten und Kennfelder</vt:lpstr>
      <vt:lpstr>Aufgabe 1</vt:lpstr>
      <vt:lpstr> 2 Fahrwiderst</vt:lpstr>
      <vt:lpstr>3 Kraftstoff</vt:lpstr>
      <vt:lpstr>4 Fahrleistung</vt:lpstr>
      <vt:lpstr>5 Einspur</vt:lpstr>
      <vt:lpstr>6 Schwerpunkt </vt:lpstr>
      <vt:lpstr>Punkteverteilung</vt:lpstr>
      <vt:lpstr>Nebenrechnung_5</vt:lpstr>
      <vt:lpstr>Getriebeauslegung</vt:lpstr>
      <vt:lpstr>7 Schwerpunkt</vt:lpstr>
      <vt:lpstr>3 Getriebe</vt:lpstr>
      <vt:lpstr>A</vt:lpstr>
      <vt:lpstr>A_Motorrad</vt:lpstr>
      <vt:lpstr>ay</vt:lpstr>
      <vt:lpstr>C_ah</vt:lpstr>
      <vt:lpstr>C_av</vt:lpstr>
      <vt:lpstr>cw</vt:lpstr>
      <vt:lpstr>cw_motorrad</vt:lpstr>
      <vt:lpstr>' 2 Fahrwiderst'!Druckbereich</vt:lpstr>
      <vt:lpstr>'3 Getriebe'!Druckbereich</vt:lpstr>
      <vt:lpstr>'3 Kraftstoff'!Druckbereich</vt:lpstr>
      <vt:lpstr>'4 Fahrleistung'!Druckbereich</vt:lpstr>
      <vt:lpstr>'5 Einspur'!Druckbereich</vt:lpstr>
      <vt:lpstr>'6 Schwerpunkt '!Druckbereich</vt:lpstr>
      <vt:lpstr>'7 Schwerpunkt'!Druckbereich</vt:lpstr>
      <vt:lpstr>'Aufgabe 1'!Druckbereich</vt:lpstr>
      <vt:lpstr>'Daten und Kennfelder'!Druckbereich</vt:lpstr>
      <vt:lpstr>Nebenrechnung_5!Druckbereich</vt:lpstr>
      <vt:lpstr>Punkteverteilung!Druckbereich</vt:lpstr>
      <vt:lpstr>e_3</vt:lpstr>
      <vt:lpstr>e_5</vt:lpstr>
      <vt:lpstr>eta_Tr</vt:lpstr>
      <vt:lpstr>F_lW_Motorrad</vt:lpstr>
      <vt:lpstr>FG_Motorrad</vt:lpstr>
      <vt:lpstr>fr</vt:lpstr>
      <vt:lpstr>g_Erdbeschl.</vt:lpstr>
      <vt:lpstr>'6 Schwerpunkt '!G_normal_Gewichtskr.</vt:lpstr>
      <vt:lpstr>'7 Schwerpunkt'!G_normal_Gewichtskr.</vt:lpstr>
      <vt:lpstr>H_Heizwert_Diesel</vt:lpstr>
      <vt:lpstr>'7 Schwerpunkt'!h_LW</vt:lpstr>
      <vt:lpstr>h_LW</vt:lpstr>
      <vt:lpstr>h_LW_Motorrad</vt:lpstr>
      <vt:lpstr>h_s</vt:lpstr>
      <vt:lpstr>h_s_Motorrad</vt:lpstr>
      <vt:lpstr>hs</vt:lpstr>
      <vt:lpstr>I_1</vt:lpstr>
      <vt:lpstr>I_2</vt:lpstr>
      <vt:lpstr>I_3</vt:lpstr>
      <vt:lpstr>I_4</vt:lpstr>
      <vt:lpstr>I_5</vt:lpstr>
      <vt:lpstr>i_Achse</vt:lpstr>
      <vt:lpstr>J_Getr</vt:lpstr>
      <vt:lpstr>J_Kuppl</vt:lpstr>
      <vt:lpstr>J_Motor</vt:lpstr>
      <vt:lpstr>J_Rad</vt:lpstr>
      <vt:lpstr>J_red</vt:lpstr>
      <vt:lpstr>J_Triebstrang</vt:lpstr>
      <vt:lpstr>l_0</vt:lpstr>
      <vt:lpstr>l_0_Motorrad</vt:lpstr>
      <vt:lpstr>l_h_Motorrad</vt:lpstr>
      <vt:lpstr>Nebenrechnung_5!LambdaA</vt:lpstr>
      <vt:lpstr>LambdaA</vt:lpstr>
      <vt:lpstr>lh</vt:lpstr>
      <vt:lpstr>m_F_normal</vt:lpstr>
      <vt:lpstr>M_max</vt:lpstr>
      <vt:lpstr>m_Motorrad</vt:lpstr>
      <vt:lpstr>Mue</vt:lpstr>
      <vt:lpstr>n_4800</vt:lpstr>
      <vt:lpstr>n_max</vt:lpstr>
      <vt:lpstr>n_nenn</vt:lpstr>
      <vt:lpstr>Nebenrechnung_5!p</vt:lpstr>
      <vt:lpstr>p</vt:lpstr>
      <vt:lpstr>P_B</vt:lpstr>
      <vt:lpstr>P_nenn</vt:lpstr>
      <vt:lpstr>Nebenrechnung_5!P_S</vt:lpstr>
      <vt:lpstr>P_S</vt:lpstr>
      <vt:lpstr>P_ü</vt:lpstr>
      <vt:lpstr>Getriebeauslegung!phi_2</vt:lpstr>
      <vt:lpstr>Radius</vt:lpstr>
      <vt:lpstr>rdyn</vt:lpstr>
      <vt:lpstr>roh_Kraftst.</vt:lpstr>
      <vt:lpstr>roh_Luft</vt:lpstr>
      <vt:lpstr>s_Spurweite</vt:lpstr>
      <vt:lpstr>Nebenrechnung_5!V_F</vt:lpstr>
      <vt:lpstr>V_F</vt:lpstr>
      <vt:lpstr>Nebenrechnung_5!v_th</vt:lpstr>
      <vt:lpstr>v_th</vt:lpstr>
      <vt:lpstr>Getriebeauslegung!z_max</vt:lpstr>
    </vt:vector>
  </TitlesOfParts>
  <Company>ZF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Meid Thomas FRD TUGD1</dc:creator>
  <cp:keywords>Internal</cp:keywords>
  <cp:lastModifiedBy>Thomas Meid</cp:lastModifiedBy>
  <cp:lastPrinted>2024-12-12T20:03:27Z</cp:lastPrinted>
  <dcterms:created xsi:type="dcterms:W3CDTF">2014-11-30T17:55:28Z</dcterms:created>
  <dcterms:modified xsi:type="dcterms:W3CDTF">2024-12-12T20:10:18Z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kumenten-ID">
    <vt:lpwstr>NC5EUPQGX2KW8VSH6C3IYQIVET</vt:lpwstr>
  </property>
  <property fmtid="{D5CDD505-2E9C-101B-9397-08002B2CF9AE}" pid="3" name="NovaPath-Version">
    <vt:lpwstr>4.6.8.12343</vt:lpwstr>
  </property>
  <property fmtid="{D5CDD505-2E9C-101B-9397-08002B2CF9AE}" pid="4" name="Klassifizierung">
    <vt:lpwstr>Internal</vt:lpwstr>
  </property>
  <property fmtid="{D5CDD505-2E9C-101B-9397-08002B2CF9AE}" pid="5" name="Klassifizierungs-Id">
    <vt:lpwstr>1030</vt:lpwstr>
  </property>
  <property fmtid="{D5CDD505-2E9C-101B-9397-08002B2CF9AE}" pid="6" name="Klassifizierungs-Datum">
    <vt:lpwstr>12/22/2016 06:33:39</vt:lpwstr>
  </property>
  <property fmtid="{D5CDD505-2E9C-101B-9397-08002B2CF9AE}" pid="7" name="MSIP_Label_134277c1-31d4-4dba-9248-3ba93a3f3112_Enabled">
    <vt:lpwstr>true</vt:lpwstr>
  </property>
  <property fmtid="{D5CDD505-2E9C-101B-9397-08002B2CF9AE}" pid="8" name="MSIP_Label_134277c1-31d4-4dba-9248-3ba93a3f3112_SetDate">
    <vt:lpwstr>2021-12-27T18:12:31Z</vt:lpwstr>
  </property>
  <property fmtid="{D5CDD505-2E9C-101B-9397-08002B2CF9AE}" pid="9" name="MSIP_Label_134277c1-31d4-4dba-9248-3ba93a3f3112_Method">
    <vt:lpwstr>Standard</vt:lpwstr>
  </property>
  <property fmtid="{D5CDD505-2E9C-101B-9397-08002B2CF9AE}" pid="10" name="MSIP_Label_134277c1-31d4-4dba-9248-3ba93a3f3112_Name">
    <vt:lpwstr>Internal sub1</vt:lpwstr>
  </property>
  <property fmtid="{D5CDD505-2E9C-101B-9397-08002B2CF9AE}" pid="11" name="MSIP_Label_134277c1-31d4-4dba-9248-3ba93a3f3112_SiteId">
    <vt:lpwstr>eb70b763-b6d7-4486-8555-8831709a784e</vt:lpwstr>
  </property>
  <property fmtid="{D5CDD505-2E9C-101B-9397-08002B2CF9AE}" pid="12" name="MSIP_Label_134277c1-31d4-4dba-9248-3ba93a3f3112_ActionId">
    <vt:lpwstr>1e320809-5742-44aa-987a-7342be428fdd</vt:lpwstr>
  </property>
  <property fmtid="{D5CDD505-2E9C-101B-9397-08002B2CF9AE}" pid="13" name="MSIP_Label_134277c1-31d4-4dba-9248-3ba93a3f3112_ContentBits">
    <vt:lpwstr>1</vt:lpwstr>
  </property>
</Properties>
</file>